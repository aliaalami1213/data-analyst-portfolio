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Dashboard" sheetId="2" state="visible" r:id="rId2"/>
    <sheet name="Historical" sheetId="3" state="visible" r:id="rId3"/>
    <sheet name="Assumptions" sheetId="4" state="visible" r:id="rId4"/>
    <sheet name="Base" sheetId="5" state="visible" r:id="rId5"/>
    <sheet name="Upside" sheetId="6" state="visible" r:id="rId6"/>
    <sheet name="Downside" sheetId="7" state="visible" r:id="rId7"/>
    <sheet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#,##0;(#,##0);-"/>
    <numFmt numFmtId="165" formatCode="0.0%;(0.0%);-"/>
    <numFmt numFmtId="166" formatCode="0.0"/>
    <numFmt numFmtId="167" formatCode="&quot;$&quot;0.00"/>
    <numFmt numFmtId="168" formatCode="&quot;¥&quot;#,##0"/>
    <numFmt numFmtId="169" formatCode="0.000"/>
    <numFmt numFmtId="170" formatCode="0.0%;-0.0%"/>
    <numFmt numFmtId="171" formatCode="0.0%"/>
    <numFmt numFmtId="172" formatCode="0.0x"/>
    <numFmt numFmtId="173" formatCode="0.0%;-0.0%;-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008000"/>
      <sz val="10"/>
    </font>
    <font>
      <name val="Arial"/>
      <b val="1"/>
      <sz val="1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3" borderId="0" pivotButton="0" quotePrefix="0" xfId="0"/>
    <xf numFmtId="0" fontId="0" fillId="3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168" fontId="11" fillId="3" borderId="0" applyAlignment="1" pivotButton="0" quotePrefix="0" xfId="0">
      <alignment horizontal="center" vertical="center"/>
    </xf>
    <xf numFmtId="170" fontId="11" fillId="3" borderId="0" applyAlignment="1" pivotButton="0" quotePrefix="0" xfId="0">
      <alignment horizontal="center" vertical="center"/>
    </xf>
    <xf numFmtId="166" fontId="11" fillId="3" borderId="0" applyAlignment="1" pivotButton="0" quotePrefix="0" xfId="0">
      <alignment horizontal="center" vertical="center"/>
    </xf>
    <xf numFmtId="171" fontId="11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/>
    </xf>
    <xf numFmtId="164" fontId="5" fillId="0" borderId="0" pivotButton="0" quotePrefix="0" xfId="0"/>
    <xf numFmtId="164" fontId="7" fillId="0" borderId="0" pivotButton="0" quotePrefix="0" xfId="0"/>
    <xf numFmtId="165" fontId="5" fillId="0" borderId="0" pivotButton="0" quotePrefix="0" xfId="0"/>
    <xf numFmtId="165" fontId="4" fillId="0" borderId="0" pivotButton="0" quotePrefix="0" xfId="0"/>
    <xf numFmtId="165" fontId="5" fillId="4" borderId="0" pivotButton="0" quotePrefix="0" xfId="0"/>
    <xf numFmtId="166" fontId="4" fillId="0" borderId="0" pivotButton="0" quotePrefix="0" xfId="0"/>
    <xf numFmtId="164" fontId="4" fillId="0" borderId="0" pivotButton="0" quotePrefix="0" xfId="0"/>
    <xf numFmtId="10" fontId="5" fillId="0" borderId="0" pivotButton="0" quotePrefix="0" xfId="0"/>
    <xf numFmtId="10" fontId="4" fillId="0" borderId="0" pivotButton="0" quotePrefix="0" xfId="0"/>
    <xf numFmtId="2" fontId="5" fillId="4" borderId="0" pivotButton="0" quotePrefix="0" xfId="0"/>
    <xf numFmtId="2" fontId="4" fillId="0" borderId="0" pivotButton="0" quotePrefix="0" xfId="0"/>
    <xf numFmtId="167" fontId="5" fillId="0" borderId="0" pivotButton="0" quotePrefix="0" xfId="0"/>
    <xf numFmtId="167" fontId="4" fillId="0" borderId="0" pivotButton="0" quotePrefix="0" xfId="0"/>
    <xf numFmtId="2" fontId="5" fillId="0" borderId="0" pivotButton="0" quotePrefix="0" xfId="0"/>
    <xf numFmtId="3" fontId="5" fillId="0" borderId="0" pivotButton="0" quotePrefix="0" xfId="0"/>
    <xf numFmtId="3" fontId="4" fillId="0" borderId="0" pivotButton="0" quotePrefix="0" xfId="0"/>
    <xf numFmtId="168" fontId="4" fillId="0" borderId="0" pivotButton="0" quotePrefix="0" xfId="0"/>
    <xf numFmtId="1" fontId="2" fillId="0" borderId="0" applyAlignment="1" pivotButton="0" quotePrefix="0" xfId="0">
      <alignment horizontal="center"/>
    </xf>
    <xf numFmtId="164" fontId="9" fillId="0" borderId="0" pivotButton="0" quotePrefix="0" xfId="0"/>
    <xf numFmtId="164" fontId="4" fillId="5" borderId="0" pivotButton="0" quotePrefix="0" xfId="0"/>
    <xf numFmtId="165" fontId="4" fillId="5" borderId="0" pivotButton="0" quotePrefix="0" xfId="0"/>
    <xf numFmtId="164" fontId="4" fillId="0" borderId="1" pivotButton="0" quotePrefix="0" xfId="0"/>
    <xf numFmtId="164" fontId="4" fillId="5" borderId="1" pivotButton="0" quotePrefix="0" xfId="0"/>
    <xf numFmtId="164" fontId="10" fillId="0" borderId="0" pivotButton="0" quotePrefix="0" xfId="0"/>
    <xf numFmtId="164" fontId="6" fillId="5" borderId="0" pivotButton="0" quotePrefix="0" xfId="0"/>
    <xf numFmtId="164" fontId="6" fillId="0" borderId="1" pivotButton="0" quotePrefix="0" xfId="0"/>
    <xf numFmtId="164" fontId="6" fillId="5" borderId="1" pivotButton="0" quotePrefix="0" xfId="0"/>
    <xf numFmtId="164" fontId="10" fillId="0" borderId="1" pivotButton="0" quotePrefix="0" xfId="0"/>
    <xf numFmtId="164" fontId="9" fillId="5" borderId="0" pivotButton="0" quotePrefix="0" xfId="0"/>
    <xf numFmtId="169" fontId="4" fillId="5" borderId="0" pivotButton="0" quotePrefix="0" xfId="0"/>
    <xf numFmtId="10" fontId="9" fillId="0" borderId="0" pivotButton="0" quotePrefix="0" xfId="0"/>
    <xf numFmtId="164" fontId="6" fillId="0" borderId="0" pivotButton="0" quotePrefix="0" xfId="0"/>
    <xf numFmtId="168" fontId="6" fillId="0" borderId="0" pivotButton="0" quotePrefix="0" xfId="0"/>
    <xf numFmtId="167" fontId="6" fillId="0" borderId="0" pivotButton="0" quotePrefix="0" xfId="0"/>
    <xf numFmtId="168" fontId="9" fillId="0" borderId="0" pivotButton="0" quotePrefix="0" xfId="0"/>
    <xf numFmtId="170" fontId="6" fillId="0" borderId="0" pivotButton="0" quotePrefix="0" xfId="0"/>
    <xf numFmtId="171" fontId="4" fillId="0" borderId="0" pivotButton="0" quotePrefix="0" xfId="0"/>
    <xf numFmtId="172" fontId="4" fillId="0" borderId="0" pivotButton="0" quotePrefix="0" xfId="0"/>
    <xf numFmtId="173" fontId="9" fillId="0" borderId="0" pivotButton="0" quotePrefix="0" xfId="0"/>
    <xf numFmtId="165" fontId="9" fillId="0" borderId="0" pivotButton="0" quotePrefix="0" xfId="0"/>
    <xf numFmtId="167" fontId="9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0" fontId="3" fillId="2" borderId="0" pivotButton="0" quotePrefix="0" xfId="0"/>
    <xf numFmtId="171" fontId="3" fillId="2" borderId="0" applyAlignment="1" pivotButton="0" quotePrefix="0" xfId="0">
      <alignment horizontal="center"/>
    </xf>
    <xf numFmtId="171" fontId="8" fillId="0" borderId="0" applyAlignment="1" pivotButton="0" quotePrefix="0" xfId="0">
      <alignment horizontal="left"/>
    </xf>
    <xf numFmtId="168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'Scenarios'!A35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'Scenarios'!$B$34:$I$34</f>
            </numRef>
          </cat>
          <val>
            <numRef>
              <f>'Scenarios'!$B$35:$I$35</f>
            </numRef>
          </val>
        </ser>
        <ser>
          <idx val="1"/>
          <order val="1"/>
          <tx>
            <strRef>
              <f>'Scenarios'!A36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'Scenarios'!$B$34:$I$34</f>
            </numRef>
          </cat>
          <val>
            <numRef>
              <f>'Scenarios'!$B$36:$I$36</f>
            </numRef>
          </val>
        </ser>
        <ser>
          <idx val="2"/>
          <order val="2"/>
          <tx>
            <strRef>
              <f>'Scenarios'!A37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'Scenarios'!$B$34:$I$34</f>
            </numRef>
          </cat>
          <val>
            <numRef>
              <f>'Scenarios'!$B$37:$I$37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¥ trillions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Operating income — Base case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'Scenarios'!A38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'Scenarios'!$B$34:$I$34</f>
            </numRef>
          </cat>
          <val>
            <numRef>
              <f>'Scenarios'!$B$38:$I$38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¥ trillions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Free cash flow — Base case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'Scenarios'!A39</f>
            </strRef>
          </tx>
          <spPr>
            <a:ln>
              <a:prstDash val="solid"/>
            </a:ln>
          </spPr>
          <cat>
            <numRef>
              <f>'Scenarios'!$B$34:$I$34</f>
            </numRef>
          </cat>
          <val>
            <numRef>
              <f>'Scenarios'!$B$39:$I$39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¥ trillions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Value per share vs. market price (¥)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'Scenarios'!A42</f>
            </strRef>
          </tx>
          <spPr>
            <a:ln>
              <a:prstDash val="solid"/>
            </a:ln>
          </spPr>
          <cat>
            <numRef>
              <f>'Scenarios'!$B$41:$E$41</f>
            </numRef>
          </cat>
          <val>
            <numRef>
              <f>'Scenarios'!$B$42:$E$42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Model</author>
  </authors>
  <commentList>
    <comment ref="C5" authorId="0" shapeId="0">
      <text>
        <t>Starting growth rates are written by forecast_revenue.py. Re-run it, then build_model.py, to refresh them.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5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6</row>
      <rowOff>0</rowOff>
    </from>
    <ext cx="558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22</row>
      <rowOff>0</rowOff>
    </from>
    <ext cx="558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22</row>
      <rowOff>0</rowOff>
    </from>
    <ext cx="558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Sony Group Corporation — three-statement model and DCF valuation</t>
        </is>
      </c>
    </row>
    <row r="2">
      <c r="A2" s="2" t="inlineStr">
        <is>
          <t>Built by Alia Alami from Sony's Form 20-F for FY2025 (year ended March 31, 2026). Educational portfolio project, not investment advice.</t>
        </is>
      </c>
    </row>
    <row r="4">
      <c r="A4" s="3" t="inlineStr">
        <is>
          <t>How the model flows</t>
        </is>
      </c>
      <c r="B4" s="4" t="n"/>
    </row>
    <row r="5">
      <c r="A5" s="5" t="inlineStr">
        <is>
          <t>1. Historical</t>
        </is>
      </c>
      <c r="B5" s="6" t="inlineStr">
        <is>
          <t>Reported segment sales, income statement, balance sheet and cash flow from the SEC filing.</t>
        </is>
      </c>
    </row>
    <row r="6">
      <c r="A6" s="5" t="inlineStr">
        <is>
          <t>2. Assumptions</t>
        </is>
      </c>
      <c r="B6" s="6" t="inlineStr">
        <is>
          <t>Every driver in one place, with a Base, Upside and Downside column and the source of each number.</t>
        </is>
      </c>
    </row>
    <row r="7">
      <c r="A7" s="5" t="inlineStr">
        <is>
          <t>3. Base / Upside / Downside</t>
        </is>
      </c>
      <c r="B7" s="6" t="inlineStr">
        <is>
          <t>Revenue build -&gt; income statement -&gt; balance sheet -&gt; cash flow -&gt; free cash flow -&gt; DCF.</t>
        </is>
      </c>
    </row>
    <row r="8">
      <c r="A8" s="5" t="inlineStr">
        <is>
          <t>4. Scenarios</t>
        </is>
      </c>
      <c r="B8" s="6" t="inlineStr">
        <is>
          <t>Side-by-side scenario results and a WACC x terminal-growth sensitivity table.</t>
        </is>
      </c>
    </row>
    <row r="9">
      <c r="A9" s="5" t="inlineStr">
        <is>
          <t>5. Dashboard</t>
        </is>
      </c>
      <c r="B9" s="6" t="inlineStr">
        <is>
          <t>Headline valuation and charts.</t>
        </is>
      </c>
    </row>
    <row r="10">
      <c r="A10" s="5" t="inlineStr"/>
      <c r="B10" s="6" t="n"/>
    </row>
    <row r="11">
      <c r="A11" s="3" t="inlineStr">
        <is>
          <t>Colour code</t>
        </is>
      </c>
      <c r="B11" s="4" t="n"/>
    </row>
    <row r="12">
      <c r="A12" s="7" t="inlineStr">
        <is>
          <t>Blue text</t>
        </is>
      </c>
      <c r="B12" s="6" t="inlineStr">
        <is>
          <t>Hard-coded input (reported figure or assumption).</t>
        </is>
      </c>
    </row>
    <row r="13">
      <c r="A13" s="8" t="inlineStr">
        <is>
          <t>Black text</t>
        </is>
      </c>
      <c r="B13" s="6" t="inlineStr">
        <is>
          <t>Formula.</t>
        </is>
      </c>
    </row>
    <row r="14">
      <c r="A14" s="9" t="inlineStr">
        <is>
          <t>Green text</t>
        </is>
      </c>
      <c r="B14" s="6" t="inlineStr">
        <is>
          <t>Direct link to another sheet.</t>
        </is>
      </c>
    </row>
    <row r="15">
      <c r="A15" s="10" t="inlineStr">
        <is>
          <t>Yellow fill</t>
        </is>
      </c>
      <c r="B15" s="6" t="inlineStr">
        <is>
          <t>Key assumption: change these first to test the valuation.</t>
        </is>
      </c>
    </row>
    <row r="16">
      <c r="A16" s="11" t="inlineStr">
        <is>
          <t>Grey fill</t>
        </is>
      </c>
      <c r="B16" s="6" t="inlineStr">
        <is>
          <t>Forecast period.</t>
        </is>
      </c>
    </row>
    <row r="17">
      <c r="A17" s="5" t="inlineStr"/>
      <c r="B17" s="6" t="n"/>
    </row>
    <row r="18">
      <c r="A18" s="3" t="inlineStr">
        <is>
          <t>Integrity checks</t>
        </is>
      </c>
      <c r="B18" s="4" t="n"/>
    </row>
    <row r="19">
      <c r="A19" s="5" t="inlineStr">
        <is>
          <t>Balance sheet</t>
        </is>
      </c>
      <c r="B19" s="6" t="inlineStr">
        <is>
          <t>Assets equal liabilities plus equity in every forecast year (Scenarios sheet, 'Balance check').</t>
        </is>
      </c>
    </row>
    <row r="20">
      <c r="A20" s="5" t="inlineStr">
        <is>
          <t>Cash</t>
        </is>
      </c>
      <c r="B20" s="6" t="inlineStr">
        <is>
          <t>Balance-sheet cash is the closing cash from the cash-flow statement.</t>
        </is>
      </c>
    </row>
    <row r="21">
      <c r="A21" s="5" t="inlineStr"/>
      <c r="B21" s="6" t="n"/>
    </row>
    <row r="22">
      <c r="A22" s="3" t="inlineStr">
        <is>
          <t>Simplifications to know about</t>
        </is>
      </c>
      <c r="B22" s="4" t="n"/>
    </row>
    <row r="23">
      <c r="A23" s="5" t="inlineStr">
        <is>
          <t>Financial Services</t>
        </is>
      </c>
      <c r="B23" s="6" t="inlineStr">
        <is>
          <t>Spun off in FY2025 and presented as a discontinued operation, so it is excluded from the forecast and the valuation.</t>
        </is>
      </c>
    </row>
    <row r="24">
      <c r="A24" s="5" t="inlineStr">
        <is>
          <t>Long-term assets</t>
        </is>
      </c>
      <c r="B24" s="6" t="inlineStr">
        <is>
          <t>PP&amp;E, right-of-use, content and intangible assets are forecast as one line: prior + investment - D&amp;A.</t>
        </is>
      </c>
    </row>
    <row r="25">
      <c r="A25" s="5" t="inlineStr">
        <is>
          <t>Leases and debt</t>
        </is>
      </c>
      <c r="B25" s="6" t="inlineStr">
        <is>
          <t>Held flat; lease liabilities are treated as debt in the equity bridge.</t>
        </is>
      </c>
    </row>
    <row r="26">
      <c r="A26" s="5" t="inlineStr">
        <is>
          <t>Other items</t>
        </is>
      </c>
      <c r="B26" s="6" t="inlineStr">
        <is>
          <t>Other operating items, equity-method income, goodwill changes and currency effects are assumed nil.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Sony Group — valuation dashboard</t>
        </is>
      </c>
    </row>
    <row r="2">
      <c r="A2" s="2" t="inlineStr">
        <is>
          <t>All figures are live links to the model. ¥ millions unless stated.</t>
        </is>
      </c>
    </row>
    <row r="4">
      <c r="A4" s="12" t="inlineStr">
        <is>
          <t>Base value per share</t>
        </is>
      </c>
      <c r="B4" s="13" t="n"/>
      <c r="C4" s="12" t="inlineStr">
        <is>
          <t>Market price per share</t>
        </is>
      </c>
      <c r="D4" s="13" t="n"/>
      <c r="E4" s="12" t="inlineStr">
        <is>
          <t>Base value vs. market</t>
        </is>
      </c>
      <c r="F4" s="13" t="n"/>
      <c r="G4" s="12" t="inlineStr">
        <is>
          <t>Enterprise value (¥ tn)</t>
        </is>
      </c>
      <c r="H4" s="13" t="n"/>
      <c r="I4" s="12" t="inlineStr">
        <is>
          <t>WACC</t>
        </is>
      </c>
      <c r="J4" s="13" t="n"/>
      <c r="K4" s="12" t="inlineStr">
        <is>
          <t>Terminal value share of EV</t>
        </is>
      </c>
      <c r="L4" s="13" t="n"/>
    </row>
    <row r="5" ht="34" customHeight="1">
      <c r="A5" s="14">
        <f>Base!C107</f>
        <v/>
      </c>
      <c r="B5" s="4" t="n"/>
      <c r="C5" s="14">
        <f>Base!C109</f>
        <v/>
      </c>
      <c r="D5" s="4" t="n"/>
      <c r="E5" s="15">
        <f>Base!C110</f>
        <v/>
      </c>
      <c r="F5" s="4" t="n"/>
      <c r="G5" s="16">
        <f>Base!C98/1000000</f>
        <v/>
      </c>
      <c r="H5" s="4" t="n"/>
      <c r="I5" s="17">
        <f>Assumptions!$C$50</f>
        <v/>
      </c>
      <c r="J5" s="4" t="n"/>
      <c r="K5" s="17">
        <f>Base!C111</f>
        <v/>
      </c>
      <c r="L5" s="4" t="n"/>
    </row>
  </sheetData>
  <mergeCells count="12">
    <mergeCell ref="A4:B4"/>
    <mergeCell ref="G4:H4"/>
    <mergeCell ref="E4:F4"/>
    <mergeCell ref="I4:J4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Sony Group Corporation — reported financials</t>
        </is>
      </c>
    </row>
    <row r="2">
      <c r="A2" s="2" t="inlineStr">
        <is>
          <t>¥ millions. FY2025 = fiscal year ended March 31, 2026. Continuing operations (Financial Services, spun off in FY2025, is excluded from income and cash flow).</t>
        </is>
      </c>
    </row>
    <row r="3">
      <c r="A3" s="2" t="inlineStr">
        <is>
          <t>Source: Sony Group Form 20-F FY2025 (SEC EDGAR, filed 2026-06-18), https://www.sec.gov/Archives/edgar/data/313838/000119312526274893/d28719d20f.htm. Segment sales for FY2021–FY2022 from the FY2023 Form 20-F.</t>
        </is>
      </c>
    </row>
    <row r="5">
      <c r="A5" s="18" t="inlineStr">
        <is>
          <t>Segment sales</t>
        </is>
      </c>
      <c r="B5" s="12" t="inlineStr">
        <is>
          <t>FY2021</t>
        </is>
      </c>
      <c r="C5" s="12" t="inlineStr">
        <is>
          <t>FY2022</t>
        </is>
      </c>
      <c r="D5" s="12" t="inlineStr">
        <is>
          <t>FY2023</t>
        </is>
      </c>
      <c r="E5" s="12" t="inlineStr">
        <is>
          <t>FY2024</t>
        </is>
      </c>
      <c r="F5" s="12" t="inlineStr">
        <is>
          <t>FY2025</t>
        </is>
      </c>
    </row>
    <row r="6">
      <c r="A6" s="6" t="inlineStr">
        <is>
          <t>Game &amp; Network Services</t>
        </is>
      </c>
      <c r="B6" s="19" t="n">
        <v>2739763</v>
      </c>
      <c r="C6" s="19" t="n">
        <v>3644598</v>
      </c>
      <c r="D6" s="19" t="n">
        <v>4267734</v>
      </c>
      <c r="E6" s="19" t="n">
        <v>4670044</v>
      </c>
      <c r="F6" s="19" t="n">
        <v>4685651</v>
      </c>
    </row>
    <row r="7">
      <c r="A7" s="6" t="inlineStr">
        <is>
          <t>Music</t>
        </is>
      </c>
      <c r="B7" s="19" t="n">
        <v>1116949</v>
      </c>
      <c r="C7" s="19" t="n">
        <v>1380632</v>
      </c>
      <c r="D7" s="19" t="n">
        <v>1618958</v>
      </c>
      <c r="E7" s="19" t="n">
        <v>1842604</v>
      </c>
      <c r="F7" s="19" t="n">
        <v>2120110</v>
      </c>
    </row>
    <row r="8">
      <c r="A8" s="6" t="inlineStr">
        <is>
          <t>Pictures</t>
        </is>
      </c>
      <c r="B8" s="19" t="n">
        <v>1238911</v>
      </c>
      <c r="C8" s="19" t="n">
        <v>1369422</v>
      </c>
      <c r="D8" s="19" t="n">
        <v>1493050</v>
      </c>
      <c r="E8" s="19" t="n">
        <v>1505944</v>
      </c>
      <c r="F8" s="19" t="n">
        <v>1499290</v>
      </c>
    </row>
    <row r="9">
      <c r="A9" s="6" t="inlineStr">
        <is>
          <t>Entertainment Technology &amp; Services</t>
        </is>
      </c>
      <c r="B9" s="19" t="n">
        <v>2339186</v>
      </c>
      <c r="C9" s="19" t="n">
        <v>2476025</v>
      </c>
      <c r="D9" s="19" t="n">
        <v>2453718</v>
      </c>
      <c r="E9" s="19" t="n">
        <v>2409275</v>
      </c>
      <c r="F9" s="19" t="n">
        <v>2260532</v>
      </c>
    </row>
    <row r="10">
      <c r="A10" s="6" t="inlineStr">
        <is>
          <t>Imaging &amp; Sensing Solutions</t>
        </is>
      </c>
      <c r="B10" s="19" t="n">
        <v>1076424</v>
      </c>
      <c r="C10" s="19" t="n">
        <v>1402187</v>
      </c>
      <c r="D10" s="19" t="n">
        <v>1602738</v>
      </c>
      <c r="E10" s="19" t="n">
        <v>1799005</v>
      </c>
      <c r="F10" s="19" t="n">
        <v>2151533</v>
      </c>
    </row>
    <row r="11">
      <c r="A11" s="6" t="inlineStr">
        <is>
          <t>All Other</t>
        </is>
      </c>
      <c r="B11" s="19" t="n">
        <v>98783</v>
      </c>
      <c r="C11" s="19" t="n">
        <v>87623</v>
      </c>
      <c r="D11" s="19" t="n">
        <v>89370</v>
      </c>
      <c r="E11" s="19" t="n">
        <v>96333</v>
      </c>
      <c r="F11" s="19" t="n">
        <v>89072</v>
      </c>
    </row>
    <row r="13">
      <c r="A13" s="18" t="inlineStr">
        <is>
          <t>Income statement</t>
        </is>
      </c>
      <c r="B13" s="12" t="inlineStr">
        <is>
          <t>FY2021</t>
        </is>
      </c>
      <c r="C13" s="12" t="inlineStr">
        <is>
          <t>FY2022</t>
        </is>
      </c>
      <c r="D13" s="12" t="inlineStr">
        <is>
          <t>FY2023</t>
        </is>
      </c>
      <c r="E13" s="12" t="inlineStr">
        <is>
          <t>FY2024</t>
        </is>
      </c>
      <c r="F13" s="12" t="inlineStr">
        <is>
          <t>FY2025</t>
        </is>
      </c>
    </row>
    <row r="14">
      <c r="A14" s="6" t="inlineStr">
        <is>
          <t>Sales</t>
        </is>
      </c>
      <c r="D14" s="19" t="n">
        <v>11260037</v>
      </c>
      <c r="E14" s="19" t="n">
        <v>12034917</v>
      </c>
      <c r="F14" s="19" t="n">
        <v>12479620</v>
      </c>
    </row>
    <row r="15">
      <c r="A15" s="6" t="inlineStr">
        <is>
          <t>Cost of sales</t>
        </is>
      </c>
      <c r="D15" s="19" t="n">
        <v>8089317</v>
      </c>
      <c r="E15" s="19" t="n">
        <v>8504810</v>
      </c>
      <c r="F15" s="19" t="n">
        <v>8635225</v>
      </c>
    </row>
    <row r="16">
      <c r="A16" s="6" t="inlineStr">
        <is>
          <t>Selling, general and administrative</t>
        </is>
      </c>
      <c r="D16" s="19" t="n">
        <v>2156156</v>
      </c>
      <c r="E16" s="19" t="n">
        <v>2256829</v>
      </c>
      <c r="F16" s="19" t="n">
        <v>2298638</v>
      </c>
    </row>
    <row r="17">
      <c r="A17" s="6" t="inlineStr">
        <is>
          <t>Other operating (income) expense, net</t>
        </is>
      </c>
      <c r="D17" s="19" t="n">
        <v>-10134</v>
      </c>
      <c r="E17" s="19" t="n">
        <v>-11222</v>
      </c>
      <c r="F17" s="19" t="n">
        <v>34056</v>
      </c>
    </row>
    <row r="18">
      <c r="A18" s="6" t="inlineStr">
        <is>
          <t>Share of profit (loss) of equity-method investments</t>
        </is>
      </c>
      <c r="D18" s="19" t="n">
        <v>10557</v>
      </c>
      <c r="E18" s="19" t="n">
        <v>-7865</v>
      </c>
      <c r="F18" s="19" t="n">
        <v>-64194</v>
      </c>
    </row>
    <row r="19">
      <c r="A19" s="8" t="inlineStr">
        <is>
          <t>Operating income</t>
        </is>
      </c>
      <c r="B19" s="7" t="n"/>
      <c r="C19" s="7" t="n"/>
      <c r="D19" s="20" t="n">
        <v>1035255</v>
      </c>
      <c r="E19" s="20" t="n">
        <v>1276635</v>
      </c>
      <c r="F19" s="20" t="n">
        <v>1447507</v>
      </c>
    </row>
    <row r="20">
      <c r="A20" s="6" t="inlineStr">
        <is>
          <t>Financial income</t>
        </is>
      </c>
      <c r="D20" s="19" t="n">
        <v>125597</v>
      </c>
      <c r="E20" s="19" t="n">
        <v>139024</v>
      </c>
      <c r="F20" s="19" t="n">
        <v>76041</v>
      </c>
    </row>
    <row r="21">
      <c r="A21" s="6" t="inlineStr">
        <is>
          <t>Financial expenses</t>
        </is>
      </c>
      <c r="D21" s="19" t="n">
        <v>65766</v>
      </c>
      <c r="E21" s="19" t="n">
        <v>72461</v>
      </c>
      <c r="F21" s="19" t="n">
        <v>101174</v>
      </c>
    </row>
    <row r="22">
      <c r="A22" s="8" t="inlineStr">
        <is>
          <t>Income before income taxes</t>
        </is>
      </c>
      <c r="B22" s="7" t="n"/>
      <c r="C22" s="7" t="n"/>
      <c r="D22" s="20" t="n">
        <v>1095086</v>
      </c>
      <c r="E22" s="20" t="n">
        <v>1343198</v>
      </c>
      <c r="F22" s="20" t="n">
        <v>1422374</v>
      </c>
    </row>
    <row r="23">
      <c r="A23" s="6" t="inlineStr">
        <is>
          <t>Income taxes</t>
        </is>
      </c>
      <c r="D23" s="19" t="n">
        <v>239105</v>
      </c>
      <c r="E23" s="19" t="n">
        <v>257480</v>
      </c>
      <c r="F23" s="19" t="n">
        <v>367108</v>
      </c>
    </row>
    <row r="24">
      <c r="A24" s="8" t="inlineStr">
        <is>
          <t>Net income from continuing operations</t>
        </is>
      </c>
      <c r="B24" s="7" t="n"/>
      <c r="C24" s="7" t="n"/>
      <c r="D24" s="20" t="n">
        <v>855981</v>
      </c>
      <c r="E24" s="20" t="n">
        <v>1085718</v>
      </c>
      <c r="F24" s="20" t="n">
        <v>1055266</v>
      </c>
    </row>
    <row r="25">
      <c r="A25" s="6" t="inlineStr">
        <is>
          <t>Net income (loss) from discontinued operations</t>
        </is>
      </c>
      <c r="D25" s="19" t="n">
        <v>124513</v>
      </c>
      <c r="E25" s="19" t="n">
        <v>74169</v>
      </c>
      <c r="F25" s="19" t="n">
        <v>-1357758</v>
      </c>
    </row>
    <row r="26">
      <c r="A26" s="6" t="inlineStr">
        <is>
          <t>Net income (loss)</t>
        </is>
      </c>
      <c r="D26" s="19" t="n">
        <v>980494</v>
      </c>
      <c r="E26" s="19" t="n">
        <v>1159887</v>
      </c>
      <c r="F26" s="19" t="n">
        <v>-302492</v>
      </c>
    </row>
    <row r="27">
      <c r="A27" s="6" t="inlineStr">
        <is>
          <t>Depreciation and amortization</t>
        </is>
      </c>
      <c r="D27" s="19" t="n">
        <v>1117292</v>
      </c>
      <c r="E27" s="19" t="n">
        <v>1125588</v>
      </c>
      <c r="F27" s="19" t="n">
        <v>1180655</v>
      </c>
    </row>
    <row r="29">
      <c r="A29" s="18" t="inlineStr">
        <is>
          <t>Balance sheet (March 31 following the fiscal year)</t>
        </is>
      </c>
      <c r="B29" s="12" t="inlineStr">
        <is>
          <t>FY2021</t>
        </is>
      </c>
      <c r="C29" s="12" t="inlineStr">
        <is>
          <t>FY2022</t>
        </is>
      </c>
      <c r="D29" s="12" t="inlineStr">
        <is>
          <t>FY2023</t>
        </is>
      </c>
      <c r="E29" s="12" t="inlineStr">
        <is>
          <t>FY2024</t>
        </is>
      </c>
      <c r="F29" s="12" t="inlineStr">
        <is>
          <t>FY2025</t>
        </is>
      </c>
    </row>
    <row r="30">
      <c r="A30" s="6" t="inlineStr">
        <is>
          <t>Cash and cash equivalents</t>
        </is>
      </c>
      <c r="E30" s="19" t="n">
        <v>2980956</v>
      </c>
      <c r="F30" s="19" t="n">
        <v>2208879</v>
      </c>
    </row>
    <row r="31">
      <c r="A31" s="6" t="inlineStr">
        <is>
          <t>Investments and advances in the Financial Services segment (current)</t>
        </is>
      </c>
      <c r="E31" s="19" t="n">
        <v>453677</v>
      </c>
      <c r="F31" s="19" t="n">
        <v>0</v>
      </c>
    </row>
    <row r="32">
      <c r="A32" s="6" t="inlineStr">
        <is>
          <t>Trade and other receivables, and contract assets</t>
        </is>
      </c>
      <c r="E32" s="19" t="n">
        <v>1943184</v>
      </c>
      <c r="F32" s="19" t="n">
        <v>1821916</v>
      </c>
    </row>
    <row r="33">
      <c r="A33" s="6" t="inlineStr">
        <is>
          <t>Inventories</t>
        </is>
      </c>
      <c r="E33" s="19" t="n">
        <v>1310770</v>
      </c>
      <c r="F33" s="19" t="n">
        <v>1227351</v>
      </c>
    </row>
    <row r="34">
      <c r="A34" s="6" t="inlineStr">
        <is>
          <t>Other financial assets (current)</t>
        </is>
      </c>
      <c r="E34" s="19" t="n">
        <v>145192</v>
      </c>
      <c r="F34" s="19" t="n">
        <v>28167</v>
      </c>
    </row>
    <row r="35">
      <c r="A35" s="6" t="inlineStr">
        <is>
          <t>Other current assets</t>
        </is>
      </c>
      <c r="E35" s="19" t="n">
        <v>621209</v>
      </c>
      <c r="F35" s="19" t="n">
        <v>663678</v>
      </c>
    </row>
    <row r="36">
      <c r="A36" s="8" t="inlineStr">
        <is>
          <t>Total current assets</t>
        </is>
      </c>
      <c r="B36" s="7" t="n"/>
      <c r="C36" s="7" t="n"/>
      <c r="D36" s="7" t="n"/>
      <c r="E36" s="20" t="n">
        <v>7454988</v>
      </c>
      <c r="F36" s="20" t="n">
        <v>5949991</v>
      </c>
    </row>
    <row r="37">
      <c r="A37" s="6" t="inlineStr">
        <is>
          <t>Investments accounted for using the equity method</t>
        </is>
      </c>
      <c r="E37" s="19" t="n">
        <v>347718</v>
      </c>
      <c r="F37" s="19" t="n">
        <v>483709</v>
      </c>
    </row>
    <row r="38">
      <c r="A38" s="6" t="inlineStr">
        <is>
          <t>Investments and advances in the Financial Services segment (non-current)</t>
        </is>
      </c>
      <c r="E38" s="19" t="n">
        <v>18736298</v>
      </c>
      <c r="F38" s="19" t="n">
        <v>0</v>
      </c>
    </row>
    <row r="39">
      <c r="A39" s="6" t="inlineStr">
        <is>
          <t>Property, plant and equipment</t>
        </is>
      </c>
      <c r="E39" s="19" t="n">
        <v>1513660</v>
      </c>
      <c r="F39" s="19" t="n">
        <v>1453805</v>
      </c>
    </row>
    <row r="40">
      <c r="A40" s="6" t="inlineStr">
        <is>
          <t>Right-of-use assets</t>
        </is>
      </c>
      <c r="E40" s="19" t="n">
        <v>521685</v>
      </c>
      <c r="F40" s="19" t="n">
        <v>524345</v>
      </c>
    </row>
    <row r="41">
      <c r="A41" s="6" t="inlineStr">
        <is>
          <t>Goodwill</t>
        </is>
      </c>
      <c r="E41" s="19" t="n">
        <v>1508721</v>
      </c>
      <c r="F41" s="19" t="n">
        <v>1673906</v>
      </c>
    </row>
    <row r="42">
      <c r="A42" s="6" t="inlineStr">
        <is>
          <t>Content assets</t>
        </is>
      </c>
      <c r="E42" s="19" t="n">
        <v>2249048</v>
      </c>
      <c r="F42" s="19" t="n">
        <v>2558615</v>
      </c>
    </row>
    <row r="43">
      <c r="A43" s="6" t="inlineStr">
        <is>
          <t>Other intangible assets</t>
        </is>
      </c>
      <c r="E43" s="19" t="n">
        <v>671212</v>
      </c>
      <c r="F43" s="19" t="n">
        <v>659578</v>
      </c>
    </row>
    <row r="44">
      <c r="A44" s="6" t="inlineStr">
        <is>
          <t>Deferred tax assets</t>
        </is>
      </c>
      <c r="E44" s="19" t="n">
        <v>559284</v>
      </c>
      <c r="F44" s="19" t="n">
        <v>560800</v>
      </c>
    </row>
    <row r="45">
      <c r="A45" s="6" t="inlineStr">
        <is>
          <t>Other financial assets (non-current)</t>
        </is>
      </c>
      <c r="E45" s="19" t="n">
        <v>1164630</v>
      </c>
      <c r="F45" s="19" t="n">
        <v>1173819</v>
      </c>
    </row>
    <row r="46">
      <c r="A46" s="6" t="inlineStr">
        <is>
          <t>Other non-current assets</t>
        </is>
      </c>
      <c r="E46" s="19" t="n">
        <v>565929</v>
      </c>
      <c r="F46" s="19" t="n">
        <v>644922</v>
      </c>
    </row>
    <row r="47">
      <c r="A47" s="8" t="inlineStr">
        <is>
          <t>Total non-current assets</t>
        </is>
      </c>
      <c r="B47" s="7" t="n"/>
      <c r="C47" s="7" t="n"/>
      <c r="D47" s="7" t="n"/>
      <c r="E47" s="20" t="n">
        <v>27838185</v>
      </c>
      <c r="F47" s="20" t="n">
        <v>9733499</v>
      </c>
    </row>
    <row r="48">
      <c r="A48" s="8" t="inlineStr">
        <is>
          <t>Total assets</t>
        </is>
      </c>
      <c r="B48" s="7" t="n"/>
      <c r="C48" s="7" t="n"/>
      <c r="D48" s="7" t="n"/>
      <c r="E48" s="20" t="n">
        <v>35293173</v>
      </c>
      <c r="F48" s="20" t="n">
        <v>15683490</v>
      </c>
    </row>
    <row r="49">
      <c r="A49" s="6" t="inlineStr">
        <is>
          <t>Short-term borrowings</t>
        </is>
      </c>
      <c r="E49" s="19" t="n">
        <v>1843959</v>
      </c>
      <c r="F49" s="19" t="n">
        <v>51183</v>
      </c>
    </row>
    <row r="50">
      <c r="A50" s="6" t="inlineStr">
        <is>
          <t>Lease liabilities (current)</t>
        </is>
      </c>
      <c r="E50" s="19" t="n">
        <v>90495</v>
      </c>
      <c r="F50" s="19" t="n">
        <v>94160</v>
      </c>
    </row>
    <row r="51">
      <c r="A51" s="6" t="inlineStr">
        <is>
          <t>Current portion of long-term debt</t>
        </is>
      </c>
      <c r="E51" s="19" t="n">
        <v>196950</v>
      </c>
      <c r="F51" s="19" t="n">
        <v>166410</v>
      </c>
    </row>
    <row r="52">
      <c r="A52" s="6" t="inlineStr">
        <is>
          <t>Trade and other payables</t>
        </is>
      </c>
      <c r="E52" s="19" t="n">
        <v>2100144</v>
      </c>
      <c r="F52" s="19" t="n">
        <v>2240566</v>
      </c>
    </row>
    <row r="53">
      <c r="A53" s="6" t="inlineStr">
        <is>
          <t>Deposits from customers in the banking business</t>
        </is>
      </c>
      <c r="E53" s="19" t="n">
        <v>3981193</v>
      </c>
      <c r="F53" s="19" t="n">
        <v>0</v>
      </c>
    </row>
    <row r="54">
      <c r="A54" s="6" t="inlineStr">
        <is>
          <t>Income taxes payable</t>
        </is>
      </c>
      <c r="E54" s="19" t="n">
        <v>89485</v>
      </c>
      <c r="F54" s="19" t="n">
        <v>196000</v>
      </c>
    </row>
    <row r="55">
      <c r="A55" s="6" t="inlineStr">
        <is>
          <t>Participation and residual liabilities in the Pictures segment (current)</t>
        </is>
      </c>
      <c r="E55" s="19" t="n">
        <v>236752</v>
      </c>
      <c r="F55" s="19" t="n">
        <v>223233</v>
      </c>
    </row>
    <row r="56">
      <c r="A56" s="6" t="inlineStr">
        <is>
          <t>Contract liabilities</t>
        </is>
      </c>
      <c r="E56" s="19" t="n">
        <v>590719</v>
      </c>
      <c r="F56" s="19" t="n">
        <v>594336</v>
      </c>
    </row>
    <row r="57">
      <c r="A57" s="6" t="inlineStr">
        <is>
          <t>Other financial liabilities (current)</t>
        </is>
      </c>
      <c r="E57" s="19" t="n">
        <v>110689</v>
      </c>
      <c r="F57" s="19" t="n">
        <v>115785</v>
      </c>
    </row>
    <row r="58">
      <c r="A58" s="6" t="inlineStr">
        <is>
          <t>Other current liabilities</t>
        </is>
      </c>
      <c r="E58" s="19" t="n">
        <v>1448402</v>
      </c>
      <c r="F58" s="19" t="n">
        <v>1350951</v>
      </c>
    </row>
    <row r="59">
      <c r="A59" s="8" t="inlineStr">
        <is>
          <t>Total current liabilities</t>
        </is>
      </c>
      <c r="B59" s="7" t="n"/>
      <c r="C59" s="7" t="n"/>
      <c r="D59" s="7" t="n"/>
      <c r="E59" s="20" t="n">
        <v>10688788</v>
      </c>
      <c r="F59" s="20" t="n">
        <v>5032624</v>
      </c>
    </row>
    <row r="60">
      <c r="A60" s="6" t="inlineStr">
        <is>
          <t>Long-term debt</t>
        </is>
      </c>
      <c r="E60" s="19" t="n">
        <v>1557867</v>
      </c>
      <c r="F60" s="19" t="n">
        <v>824393</v>
      </c>
    </row>
    <row r="61">
      <c r="A61" s="6" t="inlineStr">
        <is>
          <t>Lease liabilities (non-current)</t>
        </is>
      </c>
      <c r="E61" s="19" t="n">
        <v>508975</v>
      </c>
      <c r="F61" s="19" t="n">
        <v>533523</v>
      </c>
    </row>
    <row r="62">
      <c r="A62" s="6" t="inlineStr">
        <is>
          <t>Defined benefit liabilities</t>
        </is>
      </c>
      <c r="E62" s="19" t="n">
        <v>236941</v>
      </c>
      <c r="F62" s="19" t="n">
        <v>165017</v>
      </c>
    </row>
    <row r="63">
      <c r="A63" s="6" t="inlineStr">
        <is>
          <t>Deferred tax liabilities</t>
        </is>
      </c>
      <c r="E63" s="19" t="n">
        <v>175228</v>
      </c>
      <c r="F63" s="19" t="n">
        <v>211391</v>
      </c>
    </row>
    <row r="64">
      <c r="A64" s="6" t="inlineStr">
        <is>
          <t>Insurance contract liabilities</t>
        </is>
      </c>
      <c r="E64" s="19" t="n">
        <v>12689306</v>
      </c>
      <c r="F64" s="19" t="n">
        <v>0</v>
      </c>
    </row>
    <row r="65">
      <c r="A65" s="6" t="inlineStr">
        <is>
          <t>Participation and residual liabilities in the Pictures segment (non-current)</t>
        </is>
      </c>
      <c r="E65" s="19" t="n">
        <v>188919</v>
      </c>
      <c r="F65" s="19" t="n">
        <v>140893</v>
      </c>
    </row>
    <row r="66">
      <c r="A66" s="6" t="inlineStr">
        <is>
          <t>Other financial liabilities (non-current)</t>
        </is>
      </c>
      <c r="E66" s="19" t="n">
        <v>574351</v>
      </c>
      <c r="F66" s="19" t="n">
        <v>105827</v>
      </c>
    </row>
    <row r="67">
      <c r="A67" s="6" t="inlineStr">
        <is>
          <t>Other non-current liabilities</t>
        </is>
      </c>
      <c r="E67" s="19" t="n">
        <v>162647</v>
      </c>
      <c r="F67" s="19" t="n">
        <v>156233</v>
      </c>
    </row>
    <row r="68">
      <c r="A68" s="8" t="inlineStr">
        <is>
          <t>Total non-current liabilities</t>
        </is>
      </c>
      <c r="B68" s="7" t="n"/>
      <c r="C68" s="7" t="n"/>
      <c r="D68" s="7" t="n"/>
      <c r="E68" s="20" t="n">
        <v>16094234</v>
      </c>
      <c r="F68" s="20" t="n">
        <v>2137277</v>
      </c>
    </row>
    <row r="69">
      <c r="A69" s="8" t="inlineStr">
        <is>
          <t>Total liabilities</t>
        </is>
      </c>
      <c r="B69" s="7" t="n"/>
      <c r="C69" s="7" t="n"/>
      <c r="D69" s="7" t="n"/>
      <c r="E69" s="20" t="n">
        <v>26783022</v>
      </c>
      <c r="F69" s="20" t="n">
        <v>7169901</v>
      </c>
    </row>
    <row r="70">
      <c r="A70" s="6" t="inlineStr">
        <is>
          <t>Equity attributable to Sony Group Corporation's stockholders</t>
        </is>
      </c>
      <c r="E70" s="19" t="n">
        <v>8179745</v>
      </c>
      <c r="F70" s="19" t="n">
        <v>8119011</v>
      </c>
    </row>
    <row r="71">
      <c r="A71" s="6" t="inlineStr">
        <is>
          <t>Noncontrolling interests</t>
        </is>
      </c>
      <c r="E71" s="19" t="n">
        <v>330406</v>
      </c>
      <c r="F71" s="19" t="n">
        <v>394578</v>
      </c>
    </row>
    <row r="72">
      <c r="A72" s="8" t="inlineStr">
        <is>
          <t>Total equity</t>
        </is>
      </c>
      <c r="B72" s="7" t="n"/>
      <c r="C72" s="7" t="n"/>
      <c r="D72" s="7" t="n"/>
      <c r="E72" s="20" t="n">
        <v>8510151</v>
      </c>
      <c r="F72" s="20" t="n">
        <v>8513589</v>
      </c>
    </row>
    <row r="73">
      <c r="A73" s="8" t="inlineStr">
        <is>
          <t>Total liabilities and equity</t>
        </is>
      </c>
      <c r="B73" s="7" t="n"/>
      <c r="C73" s="7" t="n"/>
      <c r="D73" s="7" t="n"/>
      <c r="E73" s="20" t="n">
        <v>35293173</v>
      </c>
      <c r="F73" s="20" t="n">
        <v>15683490</v>
      </c>
    </row>
    <row r="75">
      <c r="A75" s="18" t="inlineStr">
        <is>
          <t>Cash flow (selected lines)</t>
        </is>
      </c>
      <c r="B75" s="12" t="inlineStr">
        <is>
          <t>FY2021</t>
        </is>
      </c>
      <c r="C75" s="12" t="inlineStr">
        <is>
          <t>FY2022</t>
        </is>
      </c>
      <c r="D75" s="12" t="inlineStr">
        <is>
          <t>FY2023</t>
        </is>
      </c>
      <c r="E75" s="12" t="inlineStr">
        <is>
          <t>FY2024</t>
        </is>
      </c>
      <c r="F75" s="12" t="inlineStr">
        <is>
          <t>FY2025</t>
        </is>
      </c>
    </row>
    <row r="76">
      <c r="A76" s="6" t="inlineStr">
        <is>
          <t>Net cash from operating activities (continuing)</t>
        </is>
      </c>
      <c r="D76" s="19" t="n">
        <v>1103645</v>
      </c>
      <c r="E76" s="19" t="n">
        <v>1971349</v>
      </c>
      <c r="F76" s="19" t="n">
        <v>1966292</v>
      </c>
    </row>
    <row r="77">
      <c r="A77" s="6" t="inlineStr">
        <is>
          <t>Increase in content assets</t>
        </is>
      </c>
      <c r="D77" s="19" t="n">
        <v>-486183</v>
      </c>
      <c r="E77" s="19" t="n">
        <v>-683388</v>
      </c>
      <c r="F77" s="19" t="n">
        <v>-665894</v>
      </c>
    </row>
    <row r="78">
      <c r="A78" s="6" t="inlineStr">
        <is>
          <t>Payments for property, plant and equipment and other intangible assets</t>
        </is>
      </c>
      <c r="D78" s="19" t="n">
        <v>-605779</v>
      </c>
      <c r="E78" s="19" t="n">
        <v>-620985</v>
      </c>
      <c r="F78" s="19" t="n">
        <v>-457681</v>
      </c>
    </row>
    <row r="79">
      <c r="A79" s="6" t="inlineStr">
        <is>
          <t>Net cash used in investing activities (continuing)</t>
        </is>
      </c>
      <c r="D79" s="19" t="n">
        <v>-793159</v>
      </c>
      <c r="E79" s="19" t="n">
        <v>-903196</v>
      </c>
      <c r="F79" s="19" t="n">
        <v>-784193</v>
      </c>
    </row>
    <row r="80">
      <c r="A80" s="6" t="inlineStr">
        <is>
          <t>Dividends paid</t>
        </is>
      </c>
      <c r="D80" s="19" t="n">
        <v>-98620</v>
      </c>
      <c r="E80" s="19" t="n">
        <v>-115253</v>
      </c>
      <c r="F80" s="19" t="n">
        <v>-135028</v>
      </c>
    </row>
    <row r="81">
      <c r="A81" s="6" t="inlineStr">
        <is>
          <t>Payments for purchases of treasury stock</t>
        </is>
      </c>
      <c r="D81" s="19" t="n">
        <v>-202974</v>
      </c>
      <c r="E81" s="19" t="n">
        <v>-285548</v>
      </c>
      <c r="F81" s="19" t="n">
        <v>-522089</v>
      </c>
    </row>
    <row r="82">
      <c r="A82" s="6" t="inlineStr">
        <is>
          <t>Net cash used in financing activities (continuing)</t>
        </is>
      </c>
      <c r="D82" s="19" t="n">
        <v>-197383</v>
      </c>
      <c r="E82" s="19" t="n">
        <v>-277303</v>
      </c>
      <c r="F82" s="19" t="n">
        <v>-833508</v>
      </c>
    </row>
    <row r="83">
      <c r="A83" s="6" t="inlineStr">
        <is>
          <t>Cash and cash equivalents at end of year</t>
        </is>
      </c>
      <c r="D83" s="19" t="n">
        <v>1907113</v>
      </c>
      <c r="E83" s="19" t="n">
        <v>2980956</v>
      </c>
      <c r="F83" s="19" t="n">
        <v>2208879</v>
      </c>
    </row>
    <row r="85">
      <c r="A85" s="2" t="inlineStr">
        <is>
          <t>The March 31, 2025 balance sheet (FY2024) still includes Financial Services assets and liabilities, so it is not comparable with March 31, 2026.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0" customWidth="1" min="2" max="2"/>
    <col width="14" customWidth="1" min="3" max="3"/>
    <col width="14" customWidth="1" min="4" max="4"/>
    <col width="14" customWidth="1" min="5" max="5"/>
    <col width="95" customWidth="1" min="6" max="6"/>
  </cols>
  <sheetData>
    <row r="1">
      <c r="A1" s="1" t="inlineStr">
        <is>
          <t>Assumptions</t>
        </is>
      </c>
    </row>
    <row r="2">
      <c r="A2" s="2" t="inlineStr">
        <is>
          <t>Blue = input you can change. Black = calculated. Yellow = key assumption that drives the scenarios. Each scenario sheet reads its own column.</t>
        </is>
      </c>
    </row>
    <row r="4">
      <c r="A4" s="18" t="inlineStr">
        <is>
          <t>Driver</t>
        </is>
      </c>
      <c r="B4" s="12" t="inlineStr">
        <is>
          <t>Unit</t>
        </is>
      </c>
      <c r="C4" s="12" t="inlineStr">
        <is>
          <t>Base</t>
        </is>
      </c>
      <c r="D4" s="12" t="inlineStr">
        <is>
          <t>Upside</t>
        </is>
      </c>
      <c r="E4" s="12" t="inlineStr">
        <is>
          <t>Downside</t>
        </is>
      </c>
      <c r="F4" s="12" t="inlineStr">
        <is>
          <t>Source / rationale</t>
        </is>
      </c>
    </row>
    <row r="5">
      <c r="A5" s="3" t="inlineStr">
        <is>
          <t>Revenue</t>
        </is>
      </c>
      <c r="B5" s="4" t="n"/>
      <c r="C5" s="4" t="n"/>
      <c r="D5" s="4" t="n"/>
      <c r="E5" s="4" t="n"/>
      <c r="F5" s="4" t="n"/>
    </row>
    <row r="6">
      <c r="A6" s="6" t="inlineStr">
        <is>
          <t>Game &amp; Network Services: starting growth (FY2026)</t>
        </is>
      </c>
      <c r="B6" s="2" t="inlineStr">
        <is>
          <t>% yoy</t>
        </is>
      </c>
      <c r="C6" s="21" t="n">
        <v>0.0033</v>
      </c>
      <c r="D6" s="22">
        <f>$C6</f>
        <v/>
      </c>
      <c r="E6" s="22">
        <f>$C6</f>
        <v/>
      </c>
      <c r="F6" s="2" t="inlineStr">
        <is>
          <t>forecast_revenue.py: Naive (last year's growth) (raw 0.3%, capped to -5%..+12%)</t>
        </is>
      </c>
    </row>
    <row r="7">
      <c r="A7" s="6" t="inlineStr">
        <is>
          <t>Music: starting growth (FY2026)</t>
        </is>
      </c>
      <c r="B7" s="2" t="inlineStr">
        <is>
          <t>% yoy</t>
        </is>
      </c>
      <c r="C7" s="21" t="n">
        <v>0.12</v>
      </c>
      <c r="D7" s="22">
        <f>$C7</f>
        <v/>
      </c>
      <c r="E7" s="22">
        <f>$C7</f>
        <v/>
      </c>
      <c r="F7" s="2" t="inlineStr">
        <is>
          <t>forecast_revenue.py: Naive (last year's growth) (raw 15.1%, capped to -5%..+12%)</t>
        </is>
      </c>
    </row>
    <row r="8">
      <c r="A8" s="6" t="inlineStr">
        <is>
          <t>Pictures: starting growth (FY2026)</t>
        </is>
      </c>
      <c r="B8" s="2" t="inlineStr">
        <is>
          <t>% yoy</t>
        </is>
      </c>
      <c r="C8" s="21" t="n">
        <v>-0.0044</v>
      </c>
      <c r="D8" s="22">
        <f>$C8</f>
        <v/>
      </c>
      <c r="E8" s="22">
        <f>$C8</f>
        <v/>
      </c>
      <c r="F8" s="2" t="inlineStr">
        <is>
          <t>forecast_revenue.py: Naive (last year's growth) (raw -0.4%, capped to -5%..+12%)</t>
        </is>
      </c>
    </row>
    <row r="9">
      <c r="A9" s="6" t="inlineStr">
        <is>
          <t>Entertainment Technology &amp; Services: starting growth (FY2026)</t>
        </is>
      </c>
      <c r="B9" s="2" t="inlineStr">
        <is>
          <t>% yoy</t>
        </is>
      </c>
      <c r="C9" s="21" t="n">
        <v>-0.05</v>
      </c>
      <c r="D9" s="22">
        <f>$C9</f>
        <v/>
      </c>
      <c r="E9" s="22">
        <f>$C9</f>
        <v/>
      </c>
      <c r="F9" s="2" t="inlineStr">
        <is>
          <t>forecast_revenue.py: Naive (last year's growth) (raw -6.2%, capped to -5%..+12%)</t>
        </is>
      </c>
    </row>
    <row r="10">
      <c r="A10" s="6" t="inlineStr">
        <is>
          <t>Imaging &amp; Sensing Solutions: starting growth (FY2026)</t>
        </is>
      </c>
      <c r="B10" s="2" t="inlineStr">
        <is>
          <t>% yoy</t>
        </is>
      </c>
      <c r="C10" s="21" t="n">
        <v>0.12</v>
      </c>
      <c r="D10" s="22">
        <f>$C10</f>
        <v/>
      </c>
      <c r="E10" s="22">
        <f>$C10</f>
        <v/>
      </c>
      <c r="F10" s="2" t="inlineStr">
        <is>
          <t>forecast_revenue.py: Naive (last year's growth) (raw 19.6%, capped to -5%..+12%)</t>
        </is>
      </c>
    </row>
    <row r="11">
      <c r="A11" s="6" t="inlineStr">
        <is>
          <t>All Other: starting growth (FY2026)</t>
        </is>
      </c>
      <c r="B11" s="2" t="inlineStr">
        <is>
          <t>% yoy</t>
        </is>
      </c>
      <c r="C11" s="21" t="n">
        <v>-0.05</v>
      </c>
      <c r="D11" s="22">
        <f>$C11</f>
        <v/>
      </c>
      <c r="E11" s="22">
        <f>$C11</f>
        <v/>
      </c>
      <c r="F11" s="2" t="inlineStr">
        <is>
          <t>forecast_revenue.py: Naive (last year's growth) (raw -7.5%, capped to -5%..+12%)</t>
        </is>
      </c>
    </row>
    <row r="12">
      <c r="A12" s="6" t="inlineStr">
        <is>
          <t>Scenario adjustment to every segment's growth</t>
        </is>
      </c>
      <c r="B12" s="2" t="inlineStr">
        <is>
          <t>pp</t>
        </is>
      </c>
      <c r="C12" s="23" t="n">
        <v>0</v>
      </c>
      <c r="D12" s="23" t="n">
        <v>0.02</v>
      </c>
      <c r="E12" s="23" t="n">
        <v>-0.02</v>
      </c>
      <c r="F12" s="2" t="inlineStr">
        <is>
          <t>Analyst assumption: +/-2 points of growth a year in the upside/downside case</t>
        </is>
      </c>
    </row>
    <row r="13">
      <c r="A13" s="6" t="inlineStr">
        <is>
          <t>Long-run growth each segment fades to by FY2030</t>
        </is>
      </c>
      <c r="B13" s="2" t="inlineStr">
        <is>
          <t>% yoy</t>
        </is>
      </c>
      <c r="C13" s="21" t="n">
        <v>0.02</v>
      </c>
      <c r="D13" s="22">
        <f>$C13</f>
        <v/>
      </c>
      <c r="E13" s="22">
        <f>$C13</f>
        <v/>
      </c>
      <c r="F13" s="2" t="inlineStr">
        <is>
          <t>Analyst assumption; matches LONG_RUN_GROWTH in forecast_revenue.py</t>
        </is>
      </c>
    </row>
    <row r="14">
      <c r="A14" s="6" t="inlineStr">
        <is>
          <t>Corporate and intersegment elimination</t>
        </is>
      </c>
      <c r="B14" s="2" t="inlineStr">
        <is>
          <t>% of segment sales</t>
        </is>
      </c>
      <c r="C14" s="22">
        <f>1-Historical!$F$14/(Historical!$F$6+Historical!$F$7+Historical!$F$8+Historical!$F$9+Historical!$F$10+Historical!$F$11)</f>
        <v/>
      </c>
      <c r="D14" s="22">
        <f>$C14</f>
        <v/>
      </c>
      <c r="E14" s="22">
        <f>$C14</f>
        <v/>
      </c>
      <c r="F14" s="2" t="inlineStr">
        <is>
          <t>FY2025 actual: segment sales less consolidated sales</t>
        </is>
      </c>
    </row>
    <row r="15">
      <c r="A15" s="3" t="inlineStr">
        <is>
          <t>Margins and reinvestment</t>
        </is>
      </c>
      <c r="B15" s="4" t="n"/>
      <c r="C15" s="4" t="n"/>
      <c r="D15" s="4" t="n"/>
      <c r="E15" s="4" t="n"/>
      <c r="F15" s="4" t="n"/>
    </row>
    <row r="16">
      <c r="A16" s="6" t="inlineStr">
        <is>
          <t>Cost of sales</t>
        </is>
      </c>
      <c r="B16" s="2" t="inlineStr">
        <is>
          <t>% of sales</t>
        </is>
      </c>
      <c r="C16" s="23" t="n">
        <v>0.6919999999999999</v>
      </c>
      <c r="D16" s="23" t="n">
        <v>0.6820000000000001</v>
      </c>
      <c r="E16" s="23" t="n">
        <v>0.707</v>
      </c>
      <c r="F16" s="2" t="inlineStr">
        <is>
          <t>FY2023-25 actual: 71.8%, 70.7%, 69.2%. Base holds FY2025; downside is about the 3-yr average (70.6%)</t>
        </is>
      </c>
    </row>
    <row r="17">
      <c r="A17" s="6" t="inlineStr">
        <is>
          <t>Selling, general and administrative</t>
        </is>
      </c>
      <c r="B17" s="2" t="inlineStr">
        <is>
          <t>% of sales</t>
        </is>
      </c>
      <c r="C17" s="21" t="n">
        <v>0.184</v>
      </c>
      <c r="D17" s="22">
        <f>$C17</f>
        <v/>
      </c>
      <c r="E17" s="22">
        <f>$C17</f>
        <v/>
      </c>
      <c r="F17" s="2" t="inlineStr">
        <is>
          <t>FY2025 actual 18.4% (FY2023-24: 19.1%, 18.8%)</t>
        </is>
      </c>
    </row>
    <row r="18">
      <c r="A18" s="6" t="inlineStr">
        <is>
          <t>Depreciation and amortization</t>
        </is>
      </c>
      <c r="B18" s="2" t="inlineStr">
        <is>
          <t>% of sales</t>
        </is>
      </c>
      <c r="C18" s="21" t="n">
        <v>0.095</v>
      </c>
      <c r="D18" s="22">
        <f>$C18</f>
        <v/>
      </c>
      <c r="E18" s="22">
        <f>$C18</f>
        <v/>
      </c>
      <c r="F18" s="2" t="inlineStr">
        <is>
          <t>FY2025 actual 9.5%; includes amortization of film and other content assets</t>
        </is>
      </c>
    </row>
    <row r="19">
      <c r="A19" s="6" t="inlineStr">
        <is>
          <t>Capital expenditure (PP&amp;E and intangibles)</t>
        </is>
      </c>
      <c r="B19" s="2" t="inlineStr">
        <is>
          <t>% of sales</t>
        </is>
      </c>
      <c r="C19" s="21" t="n">
        <v>0.047</v>
      </c>
      <c r="D19" s="22">
        <f>$C19</f>
        <v/>
      </c>
      <c r="E19" s="22">
        <f>$C19</f>
        <v/>
      </c>
      <c r="F19" s="2" t="inlineStr">
        <is>
          <t>FY2023-25 average (5.4%, 5.2%, 3.7%)</t>
        </is>
      </c>
    </row>
    <row r="20">
      <c r="A20" s="6" t="inlineStr">
        <is>
          <t>Investment in content assets</t>
        </is>
      </c>
      <c r="B20" s="2" t="inlineStr">
        <is>
          <t>% of sales</t>
        </is>
      </c>
      <c r="C20" s="21" t="n">
        <v>0.051</v>
      </c>
      <c r="D20" s="22">
        <f>$C20</f>
        <v/>
      </c>
      <c r="E20" s="22">
        <f>$C20</f>
        <v/>
      </c>
      <c r="F20" s="2" t="inlineStr">
        <is>
          <t>FY2023-25 average (4.3%, 5.7%, 5.3%); Sony reports this within operating cash flow</t>
        </is>
      </c>
    </row>
    <row r="21">
      <c r="A21" s="6" t="inlineStr">
        <is>
          <t>Tax rate</t>
        </is>
      </c>
      <c r="B21" s="2" t="inlineStr">
        <is>
          <t>% of pre-tax income</t>
        </is>
      </c>
      <c r="C21" s="21" t="n">
        <v>0.26</v>
      </c>
      <c r="D21" s="22">
        <f>$C21</f>
        <v/>
      </c>
      <c r="E21" s="22">
        <f>$C21</f>
        <v/>
      </c>
      <c r="F21" s="2" t="inlineStr">
        <is>
          <t>FY2025 effective rate 25.8%; Japanese statutory rate 31.5% (Form 20-F income taxes note)</t>
        </is>
      </c>
    </row>
    <row r="22">
      <c r="A22" s="3" t="inlineStr">
        <is>
          <t>Working capital (held at FY2025 levels)</t>
        </is>
      </c>
      <c r="B22" s="4" t="n"/>
      <c r="C22" s="4" t="n"/>
      <c r="D22" s="4" t="n"/>
      <c r="E22" s="4" t="n"/>
      <c r="F22" s="4" t="n"/>
    </row>
    <row r="23">
      <c r="A23" s="6" t="inlineStr">
        <is>
          <t>Receivable days</t>
        </is>
      </c>
      <c r="B23" s="2" t="inlineStr">
        <is>
          <t>days of sales</t>
        </is>
      </c>
      <c r="C23" s="24">
        <f>Historical!$F$32/Historical!$F$14*365</f>
        <v/>
      </c>
      <c r="D23" s="24">
        <f>$C23</f>
        <v/>
      </c>
      <c r="E23" s="24">
        <f>$C23</f>
        <v/>
      </c>
      <c r="F23" s="2" t="inlineStr">
        <is>
          <t>FY2025 actual</t>
        </is>
      </c>
    </row>
    <row r="24">
      <c r="A24" s="6" t="inlineStr">
        <is>
          <t>Inventory days</t>
        </is>
      </c>
      <c r="B24" s="2" t="inlineStr">
        <is>
          <t>days of cost of sales</t>
        </is>
      </c>
      <c r="C24" s="24">
        <f>Historical!$F$33/Historical!$F$15*365</f>
        <v/>
      </c>
      <c r="D24" s="24">
        <f>$C24</f>
        <v/>
      </c>
      <c r="E24" s="24">
        <f>$C24</f>
        <v/>
      </c>
      <c r="F24" s="2" t="inlineStr">
        <is>
          <t>FY2025 actual</t>
        </is>
      </c>
    </row>
    <row r="25">
      <c r="A25" s="6" t="inlineStr">
        <is>
          <t>Payable days</t>
        </is>
      </c>
      <c r="B25" s="2" t="inlineStr">
        <is>
          <t>days of cost of sales</t>
        </is>
      </c>
      <c r="C25" s="24">
        <f>Historical!$F$52/Historical!$F$15*365</f>
        <v/>
      </c>
      <c r="D25" s="24">
        <f>$C25</f>
        <v/>
      </c>
      <c r="E25" s="24">
        <f>$C25</f>
        <v/>
      </c>
      <c r="F25" s="2" t="inlineStr">
        <is>
          <t>FY2025 actual</t>
        </is>
      </c>
    </row>
    <row r="26">
      <c r="A26" s="6" t="inlineStr">
        <is>
          <t>Other current assets</t>
        </is>
      </c>
      <c r="B26" s="2" t="inlineStr">
        <is>
          <t>% of sales</t>
        </is>
      </c>
      <c r="C26" s="22">
        <f>(Historical!$F$34+Historical!$F$35)/Historical!$F$14</f>
        <v/>
      </c>
      <c r="D26" s="22">
        <f>$C26</f>
        <v/>
      </c>
      <c r="E26" s="22">
        <f>$C26</f>
        <v/>
      </c>
      <c r="F26" s="2" t="inlineStr">
        <is>
          <t>FY2025 actual</t>
        </is>
      </c>
    </row>
    <row r="27">
      <c r="A27" s="6" t="inlineStr">
        <is>
          <t>Other current liabilities</t>
        </is>
      </c>
      <c r="B27" s="2" t="inlineStr">
        <is>
          <t>% of sales</t>
        </is>
      </c>
      <c r="C27" s="22">
        <f>(Historical!$F$54+Historical!$F$55+Historical!$F$56+Historical!$F$57+Historical!$F$58)/Historical!$F$14</f>
        <v/>
      </c>
      <c r="D27" s="22">
        <f>$C27</f>
        <v/>
      </c>
      <c r="E27" s="22">
        <f>$C27</f>
        <v/>
      </c>
      <c r="F27" s="2" t="inlineStr">
        <is>
          <t>FY2025 actual; taxes payable, contract liabilities, participations, other</t>
        </is>
      </c>
    </row>
    <row r="28">
      <c r="A28" s="3" t="inlineStr">
        <is>
          <t>Financing</t>
        </is>
      </c>
      <c r="B28" s="4" t="n"/>
      <c r="C28" s="4" t="n"/>
      <c r="D28" s="4" t="n"/>
      <c r="E28" s="4" t="n"/>
      <c r="F28" s="4" t="n"/>
    </row>
    <row r="29">
      <c r="A29" s="6" t="inlineStr">
        <is>
          <t>Interest earned on opening cash</t>
        </is>
      </c>
      <c r="B29" s="2" t="inlineStr">
        <is>
          <t>%</t>
        </is>
      </c>
      <c r="C29" s="21" t="n">
        <v>0.015</v>
      </c>
      <c r="D29" s="22">
        <f>$C29</f>
        <v/>
      </c>
      <c r="E29" s="22">
        <f>$C29</f>
        <v/>
      </c>
      <c r="F29" s="2" t="inlineStr">
        <is>
          <t>Analyst assumption</t>
        </is>
      </c>
    </row>
    <row r="30">
      <c r="A30" s="6" t="inlineStr">
        <is>
          <t>Interest paid on opening debt and leases</t>
        </is>
      </c>
      <c r="B30" s="2" t="inlineStr">
        <is>
          <t>%</t>
        </is>
      </c>
      <c r="C30" s="21" t="n">
        <v>0.035</v>
      </c>
      <c r="D30" s="22">
        <f>$C30</f>
        <v/>
      </c>
      <c r="E30" s="22">
        <f>$C30</f>
        <v/>
      </c>
      <c r="F30" s="2" t="inlineStr">
        <is>
          <t>Analyst assumption, in line with the pre-tax cost of debt below</t>
        </is>
      </c>
    </row>
    <row r="31">
      <c r="A31" s="6" t="inlineStr">
        <is>
          <t>Dividend payout</t>
        </is>
      </c>
      <c r="B31" s="2" t="inlineStr">
        <is>
          <t>% of net income</t>
        </is>
      </c>
      <c r="C31" s="21" t="n">
        <v>0.13</v>
      </c>
      <c r="D31" s="22">
        <f>$C31</f>
        <v/>
      </c>
      <c r="E31" s="22">
        <f>$C31</f>
        <v/>
      </c>
      <c r="F31" s="2" t="inlineStr">
        <is>
          <t>FY2025 actual 12.8% of continuing net income</t>
        </is>
      </c>
    </row>
    <row r="32">
      <c r="A32" s="6" t="inlineStr">
        <is>
          <t>Share repurchases per year</t>
        </is>
      </c>
      <c r="B32" s="2" t="inlineStr">
        <is>
          <t>¥ millions</t>
        </is>
      </c>
      <c r="C32" s="19" t="n">
        <v>300000</v>
      </c>
      <c r="D32" s="25">
        <f>$C32</f>
        <v/>
      </c>
      <c r="E32" s="25">
        <f>$C32</f>
        <v/>
      </c>
      <c r="F32" s="2" t="inlineStr">
        <is>
          <t>Analyst assumption; FY2023-25 actual: 203bn, 286bn, 522bn</t>
        </is>
      </c>
    </row>
    <row r="33">
      <c r="A33" s="6" t="inlineStr">
        <is>
          <t>Net new borrowing per year</t>
        </is>
      </c>
      <c r="B33" s="2" t="inlineStr">
        <is>
          <t>¥ millions</t>
        </is>
      </c>
      <c r="C33" s="19" t="n">
        <v>0</v>
      </c>
      <c r="D33" s="25">
        <f>$C33</f>
        <v/>
      </c>
      <c r="E33" s="25">
        <f>$C33</f>
        <v/>
      </c>
      <c r="F33" s="2" t="inlineStr">
        <is>
          <t>Analyst assumption: maturing debt is refinanced</t>
        </is>
      </c>
    </row>
    <row r="34">
      <c r="A34" s="3" t="inlineStr">
        <is>
          <t>Valuation</t>
        </is>
      </c>
      <c r="B34" s="4" t="n"/>
      <c r="C34" s="4" t="n"/>
      <c r="D34" s="4" t="n"/>
      <c r="E34" s="4" t="n"/>
      <c r="F34" s="4" t="n"/>
    </row>
    <row r="35">
      <c r="A35" s="6" t="inlineStr">
        <is>
          <t>Terminal growth rate</t>
        </is>
      </c>
      <c r="B35" s="2" t="inlineStr">
        <is>
          <t>%</t>
        </is>
      </c>
      <c r="C35" s="23" t="n">
        <v>0.02</v>
      </c>
      <c r="D35" s="23" t="n">
        <v>0.025</v>
      </c>
      <c r="E35" s="23" t="n">
        <v>0.015</v>
      </c>
      <c r="F35" s="2" t="inlineStr">
        <is>
          <t>Analyst assumption; below the 10-yr JGB yield so cash flows do not outgrow the risk-free rate</t>
        </is>
      </c>
    </row>
    <row r="36">
      <c r="A36" s="6" t="inlineStr">
        <is>
          <t>Risk-free rate (10-yr Japanese government bond)</t>
        </is>
      </c>
      <c r="B36" s="2" t="inlineStr">
        <is>
          <t>%</t>
        </is>
      </c>
      <c r="C36" s="26" t="n">
        <v>0.03027</v>
      </c>
      <c r="D36" s="27">
        <f>$C36</f>
        <v/>
      </c>
      <c r="E36" s="27">
        <f>$C36</f>
        <v/>
      </c>
      <c r="F36" s="2" t="inlineStr">
        <is>
          <t>Japan Ministry of Finance, 2026-10-09</t>
        </is>
      </c>
    </row>
    <row r="37">
      <c r="A37" s="6" t="inlineStr">
        <is>
          <t>Equity risk premium</t>
        </is>
      </c>
      <c r="B37" s="2" t="inlineStr">
        <is>
          <t>%</t>
        </is>
      </c>
      <c r="C37" s="23" t="n">
        <v>0.055</v>
      </c>
      <c r="D37" s="22">
        <f>$C37</f>
        <v/>
      </c>
      <c r="E37" s="22">
        <f>$C37</f>
        <v/>
      </c>
      <c r="F37" s="2" t="inlineStr">
        <is>
          <t>Analyst assumption, not sourced. Replace with your own estimate</t>
        </is>
      </c>
    </row>
    <row r="38">
      <c r="A38" s="6" t="inlineStr">
        <is>
          <t>Equity beta</t>
        </is>
      </c>
      <c r="B38" s="2" t="inlineStr">
        <is>
          <t>x</t>
        </is>
      </c>
      <c r="C38" s="28" t="n">
        <v>1</v>
      </c>
      <c r="D38" s="29">
        <f>$C38</f>
        <v/>
      </c>
      <c r="E38" s="29">
        <f>$C38</f>
        <v/>
      </c>
      <c r="F38" s="2" t="inlineStr">
        <is>
          <t>Analyst assumption, not estimated from data. Replace with your own estimate</t>
        </is>
      </c>
    </row>
    <row r="39">
      <c r="A39" s="6" t="inlineStr">
        <is>
          <t>Pre-tax cost of debt</t>
        </is>
      </c>
      <c r="B39" s="2" t="inlineStr">
        <is>
          <t>%</t>
        </is>
      </c>
      <c r="C39" s="21" t="n">
        <v>0.035</v>
      </c>
      <c r="D39" s="22">
        <f>$C39</f>
        <v/>
      </c>
      <c r="E39" s="22">
        <f>$C39</f>
        <v/>
      </c>
      <c r="F39" s="2" t="inlineStr">
        <is>
          <t>Analyst assumption: risk-free rate plus about 0.5 points</t>
        </is>
      </c>
    </row>
    <row r="40">
      <c r="A40" s="6" t="inlineStr">
        <is>
          <t>Share price (ADR, 1 ADR = 1 share)</t>
        </is>
      </c>
      <c r="B40" s="2" t="inlineStr">
        <is>
          <t>US$</t>
        </is>
      </c>
      <c r="C40" s="30" t="n">
        <v>24.14999961853027</v>
      </c>
      <c r="D40" s="31">
        <f>$C40</f>
        <v/>
      </c>
      <c r="E40" s="31">
        <f>$C40</f>
        <v/>
      </c>
      <c r="F40" s="2" t="inlineStr">
        <is>
          <t>Close on 2026-08-24 from project 6's price file</t>
        </is>
      </c>
    </row>
    <row r="41">
      <c r="A41" s="6" t="inlineStr">
        <is>
          <t>Exchange rate</t>
        </is>
      </c>
      <c r="B41" s="2" t="inlineStr">
        <is>
          <t>¥ per US$</t>
        </is>
      </c>
      <c r="C41" s="32" t="n">
        <v>159.12</v>
      </c>
      <c r="D41" s="29">
        <f>$C41</f>
        <v/>
      </c>
      <c r="E41" s="29">
        <f>$C41</f>
        <v/>
      </c>
      <c r="F41" s="2" t="inlineStr">
        <is>
          <t>ECB reference rate, 2026-08-24</t>
        </is>
      </c>
    </row>
    <row r="42">
      <c r="A42" s="6" t="inlineStr">
        <is>
          <t>Shares outstanding</t>
        </is>
      </c>
      <c r="B42" s="2" t="inlineStr">
        <is>
          <t>shares</t>
        </is>
      </c>
      <c r="C42" s="33" t="n">
        <v>5907667254</v>
      </c>
      <c r="D42" s="34">
        <f>$C42</f>
        <v/>
      </c>
      <c r="E42" s="34">
        <f>$C42</f>
        <v/>
      </c>
      <c r="F42" s="2" t="inlineStr">
        <is>
          <t>Form 20-F FY2025 cover page, as of March 31, 2026</t>
        </is>
      </c>
    </row>
    <row r="43">
      <c r="A43" s="6" t="inlineStr">
        <is>
          <t>Share price in yen</t>
        </is>
      </c>
      <c r="B43" s="2" t="inlineStr">
        <is>
          <t>¥</t>
        </is>
      </c>
      <c r="C43" s="35">
        <f>$C$40*$C$41</f>
        <v/>
      </c>
      <c r="D43" s="35">
        <f>$C43</f>
        <v/>
      </c>
      <c r="E43" s="35">
        <f>$C43</f>
        <v/>
      </c>
      <c r="F43" s="2" t="inlineStr"/>
    </row>
    <row r="44">
      <c r="A44" s="6" t="inlineStr">
        <is>
          <t>Market capitalisation</t>
        </is>
      </c>
      <c r="B44" s="2" t="inlineStr">
        <is>
          <t>¥ millions</t>
        </is>
      </c>
      <c r="C44" s="25">
        <f>$C$43*$C$42/1000000</f>
        <v/>
      </c>
      <c r="D44" s="25">
        <f>$C44</f>
        <v/>
      </c>
      <c r="E44" s="25">
        <f>$C44</f>
        <v/>
      </c>
      <c r="F44" s="2" t="inlineStr"/>
    </row>
    <row r="45">
      <c r="A45" s="6" t="inlineStr">
        <is>
          <t>Debt including lease liabilities</t>
        </is>
      </c>
      <c r="B45" s="2" t="inlineStr">
        <is>
          <t>¥ millions</t>
        </is>
      </c>
      <c r="C45" s="25">
        <f>Historical!$F$49+Historical!$F$51+Historical!$F$60+Historical!$F$50+Historical!$F$61</f>
        <v/>
      </c>
      <c r="D45" s="25">
        <f>$C45</f>
        <v/>
      </c>
      <c r="E45" s="25">
        <f>$C45</f>
        <v/>
      </c>
      <c r="F45" s="2" t="inlineStr">
        <is>
          <t>Book value at March 31, 2026, used as a proxy for market value</t>
        </is>
      </c>
    </row>
    <row r="46">
      <c r="A46" s="6" t="inlineStr">
        <is>
          <t>Weight of equity</t>
        </is>
      </c>
      <c r="B46" s="2" t="inlineStr">
        <is>
          <t>%</t>
        </is>
      </c>
      <c r="C46" s="22">
        <f>$C$44/($C$44+$C$45)</f>
        <v/>
      </c>
      <c r="D46" s="22">
        <f>$C46</f>
        <v/>
      </c>
      <c r="E46" s="22">
        <f>$C46</f>
        <v/>
      </c>
      <c r="F46" s="2" t="inlineStr"/>
    </row>
    <row r="47">
      <c r="A47" s="6" t="inlineStr">
        <is>
          <t>Weight of debt</t>
        </is>
      </c>
      <c r="B47" s="2" t="inlineStr">
        <is>
          <t>%</t>
        </is>
      </c>
      <c r="C47" s="22">
        <f>1-$C$46</f>
        <v/>
      </c>
      <c r="D47" s="22">
        <f>$C47</f>
        <v/>
      </c>
      <c r="E47" s="22">
        <f>$C47</f>
        <v/>
      </c>
      <c r="F47" s="2" t="inlineStr"/>
    </row>
    <row r="48">
      <c r="A48" s="6" t="inlineStr">
        <is>
          <t>Cost of equity (CAPM)</t>
        </is>
      </c>
      <c r="B48" s="2" t="inlineStr">
        <is>
          <t>%</t>
        </is>
      </c>
      <c r="C48" s="27">
        <f>$C$36+$C$38*$C$37</f>
        <v/>
      </c>
      <c r="D48" s="27">
        <f>$C48</f>
        <v/>
      </c>
      <c r="E48" s="27">
        <f>$C48</f>
        <v/>
      </c>
      <c r="F48" s="2" t="inlineStr">
        <is>
          <t>Risk-free rate + beta x equity risk premium</t>
        </is>
      </c>
    </row>
    <row r="49">
      <c r="A49" s="6" t="inlineStr">
        <is>
          <t>After-tax cost of debt</t>
        </is>
      </c>
      <c r="B49" s="2" t="inlineStr">
        <is>
          <t>%</t>
        </is>
      </c>
      <c r="C49" s="27">
        <f>$C$39*(1-$C$21)</f>
        <v/>
      </c>
      <c r="D49" s="27">
        <f>$C49</f>
        <v/>
      </c>
      <c r="E49" s="27">
        <f>$C49</f>
        <v/>
      </c>
      <c r="F49" s="2" t="inlineStr"/>
    </row>
    <row r="50">
      <c r="A50" s="5" t="inlineStr">
        <is>
          <t>WACC</t>
        </is>
      </c>
      <c r="B50" s="2" t="inlineStr">
        <is>
          <t>%</t>
        </is>
      </c>
      <c r="C50" s="27">
        <f>$C$46*$C$48+$C$47*$C$49</f>
        <v/>
      </c>
      <c r="D50" s="27">
        <f>$C50</f>
        <v/>
      </c>
      <c r="E50" s="27">
        <f>$C50</f>
        <v/>
      </c>
      <c r="F50" s="2" t="inlineStr">
        <is>
          <t>Discount rate applied to free cash flow in every scenario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26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</cols>
  <sheetData>
    <row r="1">
      <c r="A1" s="1" t="inlineStr">
        <is>
          <t>Sony Group — Base case: three statements and DCF</t>
        </is>
      </c>
    </row>
    <row r="2">
      <c r="A2" s="2" t="inlineStr">
        <is>
          <t>¥ millions unless stated. A = reported, E = forecast. Every forecast cell is a formula driven by the Base column of the Assumptions sheet.</t>
        </is>
      </c>
    </row>
    <row r="4">
      <c r="A4" s="18" t="inlineStr"/>
      <c r="B4" s="12" t="inlineStr">
        <is>
          <t>Driver</t>
        </is>
      </c>
      <c r="C4" s="12" t="inlineStr">
        <is>
          <t>FY2023A</t>
        </is>
      </c>
      <c r="D4" s="12" t="inlineStr">
        <is>
          <t>FY2024A</t>
        </is>
      </c>
      <c r="E4" s="12" t="inlineStr">
        <is>
          <t>FY2025A</t>
        </is>
      </c>
      <c r="F4" s="12" t="inlineStr">
        <is>
          <t>FY2026E</t>
        </is>
      </c>
      <c r="G4" s="12" t="inlineStr">
        <is>
          <t>FY2027E</t>
        </is>
      </c>
      <c r="H4" s="12" t="inlineStr">
        <is>
          <t>FY2028E</t>
        </is>
      </c>
      <c r="I4" s="12" t="inlineStr">
        <is>
          <t>FY2029E</t>
        </is>
      </c>
      <c r="J4" s="12" t="inlineStr">
        <is>
          <t>FY2030E</t>
        </is>
      </c>
    </row>
    <row r="5">
      <c r="A5" s="2" t="inlineStr">
        <is>
          <t>Forecast year</t>
        </is>
      </c>
      <c r="F5" s="36" t="n">
        <v>1</v>
      </c>
      <c r="G5" s="36" t="n">
        <v>2</v>
      </c>
      <c r="H5" s="36" t="n">
        <v>3</v>
      </c>
      <c r="I5" s="36" t="n">
        <v>4</v>
      </c>
      <c r="J5" s="36" t="n">
        <v>5</v>
      </c>
    </row>
    <row r="7">
      <c r="A7" s="3" t="inlineStr">
        <is>
          <t>REVENUE BUILD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6" t="inlineStr">
        <is>
          <t>Game &amp; Network Services</t>
        </is>
      </c>
      <c r="B8" s="2" t="inlineStr"/>
      <c r="C8" s="37">
        <f>Historical!$D$6</f>
        <v/>
      </c>
      <c r="D8" s="37">
        <f>Historical!$E$6</f>
        <v/>
      </c>
      <c r="E8" s="37">
        <f>Historical!$F$6</f>
        <v/>
      </c>
      <c r="F8" s="38">
        <f>E8*(1+F9)</f>
        <v/>
      </c>
      <c r="G8" s="38">
        <f>F8*(1+G9)</f>
        <v/>
      </c>
      <c r="H8" s="38">
        <f>G8*(1+H9)</f>
        <v/>
      </c>
      <c r="I8" s="38">
        <f>H8*(1+I9)</f>
        <v/>
      </c>
      <c r="J8" s="38">
        <f>I8*(1+J9)</f>
        <v/>
      </c>
    </row>
    <row r="9">
      <c r="A9" s="6" t="inlineStr">
        <is>
          <t xml:space="preserve">   growth</t>
        </is>
      </c>
      <c r="B9" s="2" t="inlineStr">
        <is>
          <t>start, fading to long-run</t>
        </is>
      </c>
      <c r="C9" s="22">
        <f>Historical!$D$6/Historical!$C$6-1</f>
        <v/>
      </c>
      <c r="D9" s="22">
        <f>Historical!$E$6/Historical!$D$6-1</f>
        <v/>
      </c>
      <c r="E9" s="22">
        <f>Historical!$F$6/Historical!$E$6-1</f>
        <v/>
      </c>
      <c r="F9" s="39">
        <f>Assumptions!$C$6+(Assumptions!$C$13-Assumptions!$C$6)*(F$5-1)/4+Assumptions!$C$12</f>
        <v/>
      </c>
      <c r="G9" s="39">
        <f>Assumptions!$C$6+(Assumptions!$C$13-Assumptions!$C$6)*(G$5-1)/4+Assumptions!$C$12</f>
        <v/>
      </c>
      <c r="H9" s="39">
        <f>Assumptions!$C$6+(Assumptions!$C$13-Assumptions!$C$6)*(H$5-1)/4+Assumptions!$C$12</f>
        <v/>
      </c>
      <c r="I9" s="39">
        <f>Assumptions!$C$6+(Assumptions!$C$13-Assumptions!$C$6)*(I$5-1)/4+Assumptions!$C$12</f>
        <v/>
      </c>
      <c r="J9" s="39">
        <f>Assumptions!$C$6+(Assumptions!$C$13-Assumptions!$C$6)*(J$5-1)/4+Assumptions!$C$12</f>
        <v/>
      </c>
    </row>
    <row r="10">
      <c r="A10" s="6" t="inlineStr">
        <is>
          <t>Music</t>
        </is>
      </c>
      <c r="B10" s="2" t="inlineStr"/>
      <c r="C10" s="37">
        <f>Historical!$D$7</f>
        <v/>
      </c>
      <c r="D10" s="37">
        <f>Historical!$E$7</f>
        <v/>
      </c>
      <c r="E10" s="37">
        <f>Historical!$F$7</f>
        <v/>
      </c>
      <c r="F10" s="38">
        <f>E10*(1+F11)</f>
        <v/>
      </c>
      <c r="G10" s="38">
        <f>F10*(1+G11)</f>
        <v/>
      </c>
      <c r="H10" s="38">
        <f>G10*(1+H11)</f>
        <v/>
      </c>
      <c r="I10" s="38">
        <f>H10*(1+I11)</f>
        <v/>
      </c>
      <c r="J10" s="38">
        <f>I10*(1+J11)</f>
        <v/>
      </c>
    </row>
    <row r="11">
      <c r="A11" s="6" t="inlineStr">
        <is>
          <t xml:space="preserve">   growth</t>
        </is>
      </c>
      <c r="B11" s="2" t="inlineStr">
        <is>
          <t>start, fading to long-run</t>
        </is>
      </c>
      <c r="C11" s="22">
        <f>Historical!$D$7/Historical!$C$7-1</f>
        <v/>
      </c>
      <c r="D11" s="22">
        <f>Historical!$E$7/Historical!$D$7-1</f>
        <v/>
      </c>
      <c r="E11" s="22">
        <f>Historical!$F$7/Historical!$E$7-1</f>
        <v/>
      </c>
      <c r="F11" s="39">
        <f>Assumptions!$C$7+(Assumptions!$C$13-Assumptions!$C$7)*(F$5-1)/4+Assumptions!$C$12</f>
        <v/>
      </c>
      <c r="G11" s="39">
        <f>Assumptions!$C$7+(Assumptions!$C$13-Assumptions!$C$7)*(G$5-1)/4+Assumptions!$C$12</f>
        <v/>
      </c>
      <c r="H11" s="39">
        <f>Assumptions!$C$7+(Assumptions!$C$13-Assumptions!$C$7)*(H$5-1)/4+Assumptions!$C$12</f>
        <v/>
      </c>
      <c r="I11" s="39">
        <f>Assumptions!$C$7+(Assumptions!$C$13-Assumptions!$C$7)*(I$5-1)/4+Assumptions!$C$12</f>
        <v/>
      </c>
      <c r="J11" s="39">
        <f>Assumptions!$C$7+(Assumptions!$C$13-Assumptions!$C$7)*(J$5-1)/4+Assumptions!$C$12</f>
        <v/>
      </c>
    </row>
    <row r="12">
      <c r="A12" s="6" t="inlineStr">
        <is>
          <t>Pictures</t>
        </is>
      </c>
      <c r="B12" s="2" t="inlineStr"/>
      <c r="C12" s="37">
        <f>Historical!$D$8</f>
        <v/>
      </c>
      <c r="D12" s="37">
        <f>Historical!$E$8</f>
        <v/>
      </c>
      <c r="E12" s="37">
        <f>Historical!$F$8</f>
        <v/>
      </c>
      <c r="F12" s="38">
        <f>E12*(1+F13)</f>
        <v/>
      </c>
      <c r="G12" s="38">
        <f>F12*(1+G13)</f>
        <v/>
      </c>
      <c r="H12" s="38">
        <f>G12*(1+H13)</f>
        <v/>
      </c>
      <c r="I12" s="38">
        <f>H12*(1+I13)</f>
        <v/>
      </c>
      <c r="J12" s="38">
        <f>I12*(1+J13)</f>
        <v/>
      </c>
    </row>
    <row r="13">
      <c r="A13" s="6" t="inlineStr">
        <is>
          <t xml:space="preserve">   growth</t>
        </is>
      </c>
      <c r="B13" s="2" t="inlineStr">
        <is>
          <t>start, fading to long-run</t>
        </is>
      </c>
      <c r="C13" s="22">
        <f>Historical!$D$8/Historical!$C$8-1</f>
        <v/>
      </c>
      <c r="D13" s="22">
        <f>Historical!$E$8/Historical!$D$8-1</f>
        <v/>
      </c>
      <c r="E13" s="22">
        <f>Historical!$F$8/Historical!$E$8-1</f>
        <v/>
      </c>
      <c r="F13" s="39">
        <f>Assumptions!$C$8+(Assumptions!$C$13-Assumptions!$C$8)*(F$5-1)/4+Assumptions!$C$12</f>
        <v/>
      </c>
      <c r="G13" s="39">
        <f>Assumptions!$C$8+(Assumptions!$C$13-Assumptions!$C$8)*(G$5-1)/4+Assumptions!$C$12</f>
        <v/>
      </c>
      <c r="H13" s="39">
        <f>Assumptions!$C$8+(Assumptions!$C$13-Assumptions!$C$8)*(H$5-1)/4+Assumptions!$C$12</f>
        <v/>
      </c>
      <c r="I13" s="39">
        <f>Assumptions!$C$8+(Assumptions!$C$13-Assumptions!$C$8)*(I$5-1)/4+Assumptions!$C$12</f>
        <v/>
      </c>
      <c r="J13" s="39">
        <f>Assumptions!$C$8+(Assumptions!$C$13-Assumptions!$C$8)*(J$5-1)/4+Assumptions!$C$12</f>
        <v/>
      </c>
    </row>
    <row r="14">
      <c r="A14" s="6" t="inlineStr">
        <is>
          <t>Entertainment Technology &amp; Services</t>
        </is>
      </c>
      <c r="B14" s="2" t="inlineStr"/>
      <c r="C14" s="37">
        <f>Historical!$D$9</f>
        <v/>
      </c>
      <c r="D14" s="37">
        <f>Historical!$E$9</f>
        <v/>
      </c>
      <c r="E14" s="37">
        <f>Historical!$F$9</f>
        <v/>
      </c>
      <c r="F14" s="38">
        <f>E14*(1+F15)</f>
        <v/>
      </c>
      <c r="G14" s="38">
        <f>F14*(1+G15)</f>
        <v/>
      </c>
      <c r="H14" s="38">
        <f>G14*(1+H15)</f>
        <v/>
      </c>
      <c r="I14" s="38">
        <f>H14*(1+I15)</f>
        <v/>
      </c>
      <c r="J14" s="38">
        <f>I14*(1+J15)</f>
        <v/>
      </c>
    </row>
    <row r="15">
      <c r="A15" s="6" t="inlineStr">
        <is>
          <t xml:space="preserve">   growth</t>
        </is>
      </c>
      <c r="B15" s="2" t="inlineStr">
        <is>
          <t>start, fading to long-run</t>
        </is>
      </c>
      <c r="C15" s="22">
        <f>Historical!$D$9/Historical!$C$9-1</f>
        <v/>
      </c>
      <c r="D15" s="22">
        <f>Historical!$E$9/Historical!$D$9-1</f>
        <v/>
      </c>
      <c r="E15" s="22">
        <f>Historical!$F$9/Historical!$E$9-1</f>
        <v/>
      </c>
      <c r="F15" s="39">
        <f>Assumptions!$C$9+(Assumptions!$C$13-Assumptions!$C$9)*(F$5-1)/4+Assumptions!$C$12</f>
        <v/>
      </c>
      <c r="G15" s="39">
        <f>Assumptions!$C$9+(Assumptions!$C$13-Assumptions!$C$9)*(G$5-1)/4+Assumptions!$C$12</f>
        <v/>
      </c>
      <c r="H15" s="39">
        <f>Assumptions!$C$9+(Assumptions!$C$13-Assumptions!$C$9)*(H$5-1)/4+Assumptions!$C$12</f>
        <v/>
      </c>
      <c r="I15" s="39">
        <f>Assumptions!$C$9+(Assumptions!$C$13-Assumptions!$C$9)*(I$5-1)/4+Assumptions!$C$12</f>
        <v/>
      </c>
      <c r="J15" s="39">
        <f>Assumptions!$C$9+(Assumptions!$C$13-Assumptions!$C$9)*(J$5-1)/4+Assumptions!$C$12</f>
        <v/>
      </c>
    </row>
    <row r="16">
      <c r="A16" s="6" t="inlineStr">
        <is>
          <t>Imaging &amp; Sensing Solutions</t>
        </is>
      </c>
      <c r="B16" s="2" t="inlineStr"/>
      <c r="C16" s="37">
        <f>Historical!$D$10</f>
        <v/>
      </c>
      <c r="D16" s="37">
        <f>Historical!$E$10</f>
        <v/>
      </c>
      <c r="E16" s="37">
        <f>Historical!$F$10</f>
        <v/>
      </c>
      <c r="F16" s="38">
        <f>E16*(1+F17)</f>
        <v/>
      </c>
      <c r="G16" s="38">
        <f>F16*(1+G17)</f>
        <v/>
      </c>
      <c r="H16" s="38">
        <f>G16*(1+H17)</f>
        <v/>
      </c>
      <c r="I16" s="38">
        <f>H16*(1+I17)</f>
        <v/>
      </c>
      <c r="J16" s="38">
        <f>I16*(1+J17)</f>
        <v/>
      </c>
    </row>
    <row r="17">
      <c r="A17" s="6" t="inlineStr">
        <is>
          <t xml:space="preserve">   growth</t>
        </is>
      </c>
      <c r="B17" s="2" t="inlineStr">
        <is>
          <t>start, fading to long-run</t>
        </is>
      </c>
      <c r="C17" s="22">
        <f>Historical!$D$10/Historical!$C$10-1</f>
        <v/>
      </c>
      <c r="D17" s="22">
        <f>Historical!$E$10/Historical!$D$10-1</f>
        <v/>
      </c>
      <c r="E17" s="22">
        <f>Historical!$F$10/Historical!$E$10-1</f>
        <v/>
      </c>
      <c r="F17" s="39">
        <f>Assumptions!$C$10+(Assumptions!$C$13-Assumptions!$C$10)*(F$5-1)/4+Assumptions!$C$12</f>
        <v/>
      </c>
      <c r="G17" s="39">
        <f>Assumptions!$C$10+(Assumptions!$C$13-Assumptions!$C$10)*(G$5-1)/4+Assumptions!$C$12</f>
        <v/>
      </c>
      <c r="H17" s="39">
        <f>Assumptions!$C$10+(Assumptions!$C$13-Assumptions!$C$10)*(H$5-1)/4+Assumptions!$C$12</f>
        <v/>
      </c>
      <c r="I17" s="39">
        <f>Assumptions!$C$10+(Assumptions!$C$13-Assumptions!$C$10)*(I$5-1)/4+Assumptions!$C$12</f>
        <v/>
      </c>
      <c r="J17" s="39">
        <f>Assumptions!$C$10+(Assumptions!$C$13-Assumptions!$C$10)*(J$5-1)/4+Assumptions!$C$12</f>
        <v/>
      </c>
    </row>
    <row r="18">
      <c r="A18" s="6" t="inlineStr">
        <is>
          <t>All Other</t>
        </is>
      </c>
      <c r="B18" s="2" t="inlineStr"/>
      <c r="C18" s="37">
        <f>Historical!$D$11</f>
        <v/>
      </c>
      <c r="D18" s="37">
        <f>Historical!$E$11</f>
        <v/>
      </c>
      <c r="E18" s="37">
        <f>Historical!$F$11</f>
        <v/>
      </c>
      <c r="F18" s="38">
        <f>E18*(1+F19)</f>
        <v/>
      </c>
      <c r="G18" s="38">
        <f>F18*(1+G19)</f>
        <v/>
      </c>
      <c r="H18" s="38">
        <f>G18*(1+H19)</f>
        <v/>
      </c>
      <c r="I18" s="38">
        <f>H18*(1+I19)</f>
        <v/>
      </c>
      <c r="J18" s="38">
        <f>I18*(1+J19)</f>
        <v/>
      </c>
    </row>
    <row r="19">
      <c r="A19" s="6" t="inlineStr">
        <is>
          <t xml:space="preserve">   growth</t>
        </is>
      </c>
      <c r="B19" s="2" t="inlineStr">
        <is>
          <t>start, fading to long-run</t>
        </is>
      </c>
      <c r="C19" s="22">
        <f>Historical!$D$11/Historical!$C$11-1</f>
        <v/>
      </c>
      <c r="D19" s="22">
        <f>Historical!$E$11/Historical!$D$11-1</f>
        <v/>
      </c>
      <c r="E19" s="22">
        <f>Historical!$F$11/Historical!$E$11-1</f>
        <v/>
      </c>
      <c r="F19" s="39">
        <f>Assumptions!$C$11+(Assumptions!$C$13-Assumptions!$C$11)*(F$5-1)/4+Assumptions!$C$12</f>
        <v/>
      </c>
      <c r="G19" s="39">
        <f>Assumptions!$C$11+(Assumptions!$C$13-Assumptions!$C$11)*(G$5-1)/4+Assumptions!$C$12</f>
        <v/>
      </c>
      <c r="H19" s="39">
        <f>Assumptions!$C$11+(Assumptions!$C$13-Assumptions!$C$11)*(H$5-1)/4+Assumptions!$C$12</f>
        <v/>
      </c>
      <c r="I19" s="39">
        <f>Assumptions!$C$11+(Assumptions!$C$13-Assumptions!$C$11)*(I$5-1)/4+Assumptions!$C$12</f>
        <v/>
      </c>
      <c r="J19" s="39">
        <f>Assumptions!$C$11+(Assumptions!$C$13-Assumptions!$C$11)*(J$5-1)/4+Assumptions!$C$12</f>
        <v/>
      </c>
    </row>
    <row r="20">
      <c r="A20" s="6" t="inlineStr">
        <is>
          <t>Segment sales</t>
        </is>
      </c>
      <c r="B20" s="2" t="inlineStr"/>
      <c r="C20" s="40">
        <f>C8+C10+C12+C14+C16+C18</f>
        <v/>
      </c>
      <c r="D20" s="40">
        <f>D8+D10+D12+D14+D16+D18</f>
        <v/>
      </c>
      <c r="E20" s="40">
        <f>E8+E10+E12+E14+E16+E18</f>
        <v/>
      </c>
      <c r="F20" s="41">
        <f>F8+F10+F12+F14+F16+F18</f>
        <v/>
      </c>
      <c r="G20" s="41">
        <f>G8+G10+G12+G14+G16+G18</f>
        <v/>
      </c>
      <c r="H20" s="41">
        <f>H8+H10+H12+H14+H16+H18</f>
        <v/>
      </c>
      <c r="I20" s="41">
        <f>I8+I10+I12+I14+I16+I18</f>
        <v/>
      </c>
      <c r="J20" s="41">
        <f>J8+J10+J12+J14+J16+J18</f>
        <v/>
      </c>
    </row>
    <row r="21">
      <c r="A21" s="6" t="inlineStr">
        <is>
          <t>Corporate and elimination</t>
        </is>
      </c>
      <c r="B21" s="2" t="inlineStr">
        <is>
          <t>% of segment sales</t>
        </is>
      </c>
      <c r="C21" s="25">
        <f>Historical!$D$14-C20</f>
        <v/>
      </c>
      <c r="D21" s="25">
        <f>Historical!$E$14-D20</f>
        <v/>
      </c>
      <c r="E21" s="25">
        <f>Historical!$F$14-E20</f>
        <v/>
      </c>
      <c r="F21" s="38">
        <f>-Assumptions!$C$14*F20</f>
        <v/>
      </c>
      <c r="G21" s="38">
        <f>-Assumptions!$C$14*G20</f>
        <v/>
      </c>
      <c r="H21" s="38">
        <f>-Assumptions!$C$14*H20</f>
        <v/>
      </c>
      <c r="I21" s="38">
        <f>-Assumptions!$C$14*I20</f>
        <v/>
      </c>
      <c r="J21" s="38">
        <f>-Assumptions!$C$14*J20</f>
        <v/>
      </c>
    </row>
    <row r="23">
      <c r="A23" s="3" t="inlineStr">
        <is>
          <t>INCOME STATEMENT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5" t="inlineStr">
        <is>
          <t>Sales</t>
        </is>
      </c>
      <c r="B24" s="2" t="inlineStr"/>
      <c r="C24" s="42">
        <f>Historical!$D$14</f>
        <v/>
      </c>
      <c r="D24" s="42">
        <f>Historical!$E$14</f>
        <v/>
      </c>
      <c r="E24" s="42">
        <f>Historical!$F$14</f>
        <v/>
      </c>
      <c r="F24" s="43">
        <f>F20+F21</f>
        <v/>
      </c>
      <c r="G24" s="43">
        <f>G20+G21</f>
        <v/>
      </c>
      <c r="H24" s="43">
        <f>H20+H21</f>
        <v/>
      </c>
      <c r="I24" s="43">
        <f>I20+I21</f>
        <v/>
      </c>
      <c r="J24" s="43">
        <f>J20+J21</f>
        <v/>
      </c>
    </row>
    <row r="25">
      <c r="A25" s="6" t="inlineStr">
        <is>
          <t xml:space="preserve">   growth</t>
        </is>
      </c>
      <c r="B25" s="2" t="inlineStr"/>
      <c r="D25" s="22">
        <f>D24/C24-1</f>
        <v/>
      </c>
      <c r="E25" s="22">
        <f>E24/D24-1</f>
        <v/>
      </c>
      <c r="F25" s="39">
        <f>F24/E24-1</f>
        <v/>
      </c>
      <c r="G25" s="39">
        <f>G24/F24-1</f>
        <v/>
      </c>
      <c r="H25" s="39">
        <f>H24/G24-1</f>
        <v/>
      </c>
      <c r="I25" s="39">
        <f>I24/H24-1</f>
        <v/>
      </c>
      <c r="J25" s="39">
        <f>J24/I24-1</f>
        <v/>
      </c>
    </row>
    <row r="26">
      <c r="A26" s="6" t="inlineStr">
        <is>
          <t>Cost of sales</t>
        </is>
      </c>
      <c r="B26" s="2" t="inlineStr">
        <is>
          <t>% of sales</t>
        </is>
      </c>
      <c r="C26" s="37">
        <f>Historical!$D$15</f>
        <v/>
      </c>
      <c r="D26" s="37">
        <f>Historical!$E$15</f>
        <v/>
      </c>
      <c r="E26" s="37">
        <f>Historical!$F$15</f>
        <v/>
      </c>
      <c r="F26" s="38">
        <f>Assumptions!$C$16*F24</f>
        <v/>
      </c>
      <c r="G26" s="38">
        <f>Assumptions!$C$16*G24</f>
        <v/>
      </c>
      <c r="H26" s="38">
        <f>Assumptions!$C$16*H24</f>
        <v/>
      </c>
      <c r="I26" s="38">
        <f>Assumptions!$C$16*I24</f>
        <v/>
      </c>
      <c r="J26" s="38">
        <f>Assumptions!$C$16*J24</f>
        <v/>
      </c>
    </row>
    <row r="27">
      <c r="A27" s="6" t="inlineStr">
        <is>
          <t>Gross profit</t>
        </is>
      </c>
      <c r="B27" s="2" t="inlineStr"/>
      <c r="C27" s="40">
        <f>C24-C26</f>
        <v/>
      </c>
      <c r="D27" s="40">
        <f>D24-D26</f>
        <v/>
      </c>
      <c r="E27" s="40">
        <f>E24-E26</f>
        <v/>
      </c>
      <c r="F27" s="41">
        <f>F24-F26</f>
        <v/>
      </c>
      <c r="G27" s="41">
        <f>G24-G26</f>
        <v/>
      </c>
      <c r="H27" s="41">
        <f>H24-H26</f>
        <v/>
      </c>
      <c r="I27" s="41">
        <f>I24-I26</f>
        <v/>
      </c>
      <c r="J27" s="41">
        <f>J24-J26</f>
        <v/>
      </c>
    </row>
    <row r="28">
      <c r="A28" s="6" t="inlineStr">
        <is>
          <t>Selling, general and administrative</t>
        </is>
      </c>
      <c r="B28" s="2" t="inlineStr">
        <is>
          <t>% of sales</t>
        </is>
      </c>
      <c r="C28" s="37">
        <f>Historical!$D$16</f>
        <v/>
      </c>
      <c r="D28" s="37">
        <f>Historical!$E$16</f>
        <v/>
      </c>
      <c r="E28" s="37">
        <f>Historical!$F$16</f>
        <v/>
      </c>
      <c r="F28" s="38">
        <f>Assumptions!$C$17*F24</f>
        <v/>
      </c>
      <c r="G28" s="38">
        <f>Assumptions!$C$17*G24</f>
        <v/>
      </c>
      <c r="H28" s="38">
        <f>Assumptions!$C$17*H24</f>
        <v/>
      </c>
      <c r="I28" s="38">
        <f>Assumptions!$C$17*I24</f>
        <v/>
      </c>
      <c r="J28" s="38">
        <f>Assumptions!$C$17*J24</f>
        <v/>
      </c>
    </row>
    <row r="29">
      <c r="A29" s="6" t="inlineStr">
        <is>
          <t>Other operating (income) expense, net</t>
        </is>
      </c>
      <c r="B29" s="2" t="inlineStr">
        <is>
          <t>assumed nil</t>
        </is>
      </c>
      <c r="C29" s="37">
        <f>Historical!$D$17</f>
        <v/>
      </c>
      <c r="D29" s="37">
        <f>Historical!$E$17</f>
        <v/>
      </c>
      <c r="E29" s="37">
        <f>Historical!$F$17</f>
        <v/>
      </c>
      <c r="F29" s="38">
        <f>0</f>
        <v/>
      </c>
      <c r="G29" s="38">
        <f>0</f>
        <v/>
      </c>
      <c r="H29" s="38">
        <f>0</f>
        <v/>
      </c>
      <c r="I29" s="38">
        <f>0</f>
        <v/>
      </c>
      <c r="J29" s="38">
        <f>0</f>
        <v/>
      </c>
    </row>
    <row r="30">
      <c r="A30" s="6" t="inlineStr">
        <is>
          <t>Share of profit (loss) of equity-method investments</t>
        </is>
      </c>
      <c r="B30" s="2" t="inlineStr">
        <is>
          <t>assumed nil</t>
        </is>
      </c>
      <c r="C30" s="37">
        <f>Historical!$D$18</f>
        <v/>
      </c>
      <c r="D30" s="37">
        <f>Historical!$E$18</f>
        <v/>
      </c>
      <c r="E30" s="37">
        <f>Historical!$F$18</f>
        <v/>
      </c>
      <c r="F30" s="38">
        <f>0</f>
        <v/>
      </c>
      <c r="G30" s="38">
        <f>0</f>
        <v/>
      </c>
      <c r="H30" s="38">
        <f>0</f>
        <v/>
      </c>
      <c r="I30" s="38">
        <f>0</f>
        <v/>
      </c>
      <c r="J30" s="38">
        <f>0</f>
        <v/>
      </c>
    </row>
    <row r="31">
      <c r="A31" s="5" t="inlineStr">
        <is>
          <t>Operating income</t>
        </is>
      </c>
      <c r="B31" s="2" t="inlineStr"/>
      <c r="C31" s="44">
        <f>C27-C28-C29+C30</f>
        <v/>
      </c>
      <c r="D31" s="44">
        <f>D27-D28-D29+D30</f>
        <v/>
      </c>
      <c r="E31" s="44">
        <f>E27-E28-E29+E30</f>
        <v/>
      </c>
      <c r="F31" s="45">
        <f>F27-F28-F29+F30</f>
        <v/>
      </c>
      <c r="G31" s="45">
        <f>G27-G28-G29+G30</f>
        <v/>
      </c>
      <c r="H31" s="45">
        <f>H27-H28-H29+H30</f>
        <v/>
      </c>
      <c r="I31" s="45">
        <f>I27-I28-I29+I30</f>
        <v/>
      </c>
      <c r="J31" s="45">
        <f>J27-J28-J29+J30</f>
        <v/>
      </c>
    </row>
    <row r="32">
      <c r="A32" s="6" t="inlineStr">
        <is>
          <t xml:space="preserve">   operating margin</t>
        </is>
      </c>
      <c r="B32" s="2" t="inlineStr"/>
      <c r="C32" s="22">
        <f>C31/C24</f>
        <v/>
      </c>
      <c r="D32" s="22">
        <f>D31/D24</f>
        <v/>
      </c>
      <c r="E32" s="22">
        <f>E31/E24</f>
        <v/>
      </c>
      <c r="F32" s="39">
        <f>F31/F24</f>
        <v/>
      </c>
      <c r="G32" s="39">
        <f>G31/G24</f>
        <v/>
      </c>
      <c r="H32" s="39">
        <f>H31/H24</f>
        <v/>
      </c>
      <c r="I32" s="39">
        <f>I31/I24</f>
        <v/>
      </c>
      <c r="J32" s="39">
        <f>J31/J24</f>
        <v/>
      </c>
    </row>
    <row r="33">
      <c r="A33" s="6" t="inlineStr">
        <is>
          <t>Financial income</t>
        </is>
      </c>
      <c r="B33" s="2" t="inlineStr">
        <is>
          <t>% of opening cash</t>
        </is>
      </c>
      <c r="C33" s="37">
        <f>Historical!$D$20</f>
        <v/>
      </c>
      <c r="D33" s="37">
        <f>Historical!$E$20</f>
        <v/>
      </c>
      <c r="E33" s="37">
        <f>Historical!$F$20</f>
        <v/>
      </c>
      <c r="F33" s="38">
        <f>Assumptions!$C$29*E42</f>
        <v/>
      </c>
      <c r="G33" s="38">
        <f>Assumptions!$C$29*F42</f>
        <v/>
      </c>
      <c r="H33" s="38">
        <f>Assumptions!$C$29*G42</f>
        <v/>
      </c>
      <c r="I33" s="38">
        <f>Assumptions!$C$29*H42</f>
        <v/>
      </c>
      <c r="J33" s="38">
        <f>Assumptions!$C$29*I42</f>
        <v/>
      </c>
    </row>
    <row r="34">
      <c r="A34" s="6" t="inlineStr">
        <is>
          <t>Financial expenses</t>
        </is>
      </c>
      <c r="B34" s="2" t="inlineStr">
        <is>
          <t>% of opening debt</t>
        </is>
      </c>
      <c r="C34" s="37">
        <f>Historical!$D$21</f>
        <v/>
      </c>
      <c r="D34" s="37">
        <f>Historical!$E$21</f>
        <v/>
      </c>
      <c r="E34" s="37">
        <f>Historical!$F$21</f>
        <v/>
      </c>
      <c r="F34" s="38">
        <f>Assumptions!$C$30*(E53+E54)</f>
        <v/>
      </c>
      <c r="G34" s="38">
        <f>Assumptions!$C$30*(F53+F54)</f>
        <v/>
      </c>
      <c r="H34" s="38">
        <f>Assumptions!$C$30*(G53+G54)</f>
        <v/>
      </c>
      <c r="I34" s="38">
        <f>Assumptions!$C$30*(H53+H54)</f>
        <v/>
      </c>
      <c r="J34" s="38">
        <f>Assumptions!$C$30*(I53+I54)</f>
        <v/>
      </c>
    </row>
    <row r="35">
      <c r="A35" s="6" t="inlineStr">
        <is>
          <t>Income before income taxes</t>
        </is>
      </c>
      <c r="B35" s="2" t="inlineStr"/>
      <c r="C35" s="40">
        <f>C31+C33-C34</f>
        <v/>
      </c>
      <c r="D35" s="40">
        <f>D31+D33-D34</f>
        <v/>
      </c>
      <c r="E35" s="40">
        <f>E31+E33-E34</f>
        <v/>
      </c>
      <c r="F35" s="41">
        <f>F31+F33-F34</f>
        <v/>
      </c>
      <c r="G35" s="41">
        <f>G31+G33-G34</f>
        <v/>
      </c>
      <c r="H35" s="41">
        <f>H31+H33-H34</f>
        <v/>
      </c>
      <c r="I35" s="41">
        <f>I31+I33-I34</f>
        <v/>
      </c>
      <c r="J35" s="41">
        <f>J31+J33-J34</f>
        <v/>
      </c>
    </row>
    <row r="36">
      <c r="A36" s="6" t="inlineStr">
        <is>
          <t>Income taxes</t>
        </is>
      </c>
      <c r="B36" s="2" t="inlineStr">
        <is>
          <t>% of pre-tax income</t>
        </is>
      </c>
      <c r="C36" s="37">
        <f>Historical!$D$23</f>
        <v/>
      </c>
      <c r="D36" s="37">
        <f>Historical!$E$23</f>
        <v/>
      </c>
      <c r="E36" s="37">
        <f>Historical!$F$23</f>
        <v/>
      </c>
      <c r="F36" s="38">
        <f>Assumptions!$C$21*F35</f>
        <v/>
      </c>
      <c r="G36" s="38">
        <f>Assumptions!$C$21*G35</f>
        <v/>
      </c>
      <c r="H36" s="38">
        <f>Assumptions!$C$21*H35</f>
        <v/>
      </c>
      <c r="I36" s="38">
        <f>Assumptions!$C$21*I35</f>
        <v/>
      </c>
      <c r="J36" s="38">
        <f>Assumptions!$C$21*J35</f>
        <v/>
      </c>
    </row>
    <row r="37">
      <c r="A37" s="5" t="inlineStr">
        <is>
          <t>Net income from continuing operations</t>
        </is>
      </c>
      <c r="B37" s="2" t="inlineStr"/>
      <c r="C37" s="44">
        <f>C35-C36</f>
        <v/>
      </c>
      <c r="D37" s="44">
        <f>D35-D36</f>
        <v/>
      </c>
      <c r="E37" s="44">
        <f>E35-E36</f>
        <v/>
      </c>
      <c r="F37" s="45">
        <f>F35-F36</f>
        <v/>
      </c>
      <c r="G37" s="45">
        <f>G35-G36</f>
        <v/>
      </c>
      <c r="H37" s="45">
        <f>H35-H36</f>
        <v/>
      </c>
      <c r="I37" s="45">
        <f>I35-I36</f>
        <v/>
      </c>
      <c r="J37" s="45">
        <f>J35-J36</f>
        <v/>
      </c>
    </row>
    <row r="38">
      <c r="A38" s="6" t="inlineStr">
        <is>
          <t>Depreciation and amortization (memo)</t>
        </is>
      </c>
      <c r="B38" s="2" t="inlineStr">
        <is>
          <t>% of sales</t>
        </is>
      </c>
      <c r="C38" s="37">
        <f>Historical!$D$27</f>
        <v/>
      </c>
      <c r="D38" s="37">
        <f>Historical!$E$27</f>
        <v/>
      </c>
      <c r="E38" s="37">
        <f>Historical!$F$27</f>
        <v/>
      </c>
      <c r="F38" s="38">
        <f>Assumptions!$C$18*F24</f>
        <v/>
      </c>
      <c r="G38" s="38">
        <f>Assumptions!$C$18*G24</f>
        <v/>
      </c>
      <c r="H38" s="38">
        <f>Assumptions!$C$18*H24</f>
        <v/>
      </c>
      <c r="I38" s="38">
        <f>Assumptions!$C$18*I24</f>
        <v/>
      </c>
      <c r="J38" s="38">
        <f>Assumptions!$C$18*J24</f>
        <v/>
      </c>
    </row>
    <row r="39">
      <c r="A39" s="6" t="inlineStr">
        <is>
          <t>EBITDA</t>
        </is>
      </c>
      <c r="B39" s="2" t="inlineStr"/>
      <c r="C39" s="25">
        <f>C31+C38</f>
        <v/>
      </c>
      <c r="D39" s="25">
        <f>D31+D38</f>
        <v/>
      </c>
      <c r="E39" s="25">
        <f>E31+E38</f>
        <v/>
      </c>
      <c r="F39" s="38">
        <f>F31+F38</f>
        <v/>
      </c>
      <c r="G39" s="38">
        <f>G31+G38</f>
        <v/>
      </c>
      <c r="H39" s="38">
        <f>H31+H38</f>
        <v/>
      </c>
      <c r="I39" s="38">
        <f>I31+I38</f>
        <v/>
      </c>
      <c r="J39" s="38">
        <f>J31+J38</f>
        <v/>
      </c>
    </row>
    <row r="41">
      <c r="A41" s="3" t="inlineStr">
        <is>
          <t>BALANCE SHEET (March 31 following the fiscal year)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6" t="inlineStr">
        <is>
          <t>Cash and cash equivalents</t>
        </is>
      </c>
      <c r="B42" s="2" t="inlineStr">
        <is>
          <t>from cash flow</t>
        </is>
      </c>
      <c r="D42" s="37">
        <f>Historical!$E$30</f>
        <v/>
      </c>
      <c r="E42" s="37">
        <f>Historical!$F$30</f>
        <v/>
      </c>
      <c r="F42" s="38">
        <f>F78</f>
        <v/>
      </c>
      <c r="G42" s="38">
        <f>G78</f>
        <v/>
      </c>
      <c r="H42" s="38">
        <f>H78</f>
        <v/>
      </c>
      <c r="I42" s="38">
        <f>I78</f>
        <v/>
      </c>
      <c r="J42" s="38">
        <f>J78</f>
        <v/>
      </c>
    </row>
    <row r="43">
      <c r="A43" s="6" t="inlineStr">
        <is>
          <t>Trade and other receivables</t>
        </is>
      </c>
      <c r="B43" s="2" t="inlineStr">
        <is>
          <t>days of sales</t>
        </is>
      </c>
      <c r="D43" s="37">
        <f>Historical!$E$32</f>
        <v/>
      </c>
      <c r="E43" s="37">
        <f>Historical!$F$32</f>
        <v/>
      </c>
      <c r="F43" s="38">
        <f>Assumptions!$C$23/365*F24</f>
        <v/>
      </c>
      <c r="G43" s="38">
        <f>Assumptions!$C$23/365*G24</f>
        <v/>
      </c>
      <c r="H43" s="38">
        <f>Assumptions!$C$23/365*H24</f>
        <v/>
      </c>
      <c r="I43" s="38">
        <f>Assumptions!$C$23/365*I24</f>
        <v/>
      </c>
      <c r="J43" s="38">
        <f>Assumptions!$C$23/365*J24</f>
        <v/>
      </c>
    </row>
    <row r="44">
      <c r="A44" s="6" t="inlineStr">
        <is>
          <t>Inventories</t>
        </is>
      </c>
      <c r="B44" s="2" t="inlineStr">
        <is>
          <t>days of cost of sales</t>
        </is>
      </c>
      <c r="D44" s="37">
        <f>Historical!$E$33</f>
        <v/>
      </c>
      <c r="E44" s="37">
        <f>Historical!$F$33</f>
        <v/>
      </c>
      <c r="F44" s="38">
        <f>Assumptions!$C$24/365*F26</f>
        <v/>
      </c>
      <c r="G44" s="38">
        <f>Assumptions!$C$24/365*G26</f>
        <v/>
      </c>
      <c r="H44" s="38">
        <f>Assumptions!$C$24/365*H26</f>
        <v/>
      </c>
      <c r="I44" s="38">
        <f>Assumptions!$C$24/365*I26</f>
        <v/>
      </c>
      <c r="J44" s="38">
        <f>Assumptions!$C$24/365*J26</f>
        <v/>
      </c>
    </row>
    <row r="45">
      <c r="A45" s="6" t="inlineStr">
        <is>
          <t>Other current assets</t>
        </is>
      </c>
      <c r="B45" s="2" t="inlineStr">
        <is>
          <t>% of sales</t>
        </is>
      </c>
      <c r="D45" s="25">
        <f>Historical!$E$34+Historical!$E$35</f>
        <v/>
      </c>
      <c r="E45" s="25">
        <f>Historical!$F$34+Historical!$F$35</f>
        <v/>
      </c>
      <c r="F45" s="38">
        <f>Assumptions!$C$26*F24</f>
        <v/>
      </c>
      <c r="G45" s="38">
        <f>Assumptions!$C$26*G24</f>
        <v/>
      </c>
      <c r="H45" s="38">
        <f>Assumptions!$C$26*H24</f>
        <v/>
      </c>
      <c r="I45" s="38">
        <f>Assumptions!$C$26*I24</f>
        <v/>
      </c>
      <c r="J45" s="38">
        <f>Assumptions!$C$26*J24</f>
        <v/>
      </c>
    </row>
    <row r="46">
      <c r="A46" s="6" t="inlineStr">
        <is>
          <t>Financial Services assets (discontinued)</t>
        </is>
      </c>
      <c r="B46" s="2" t="inlineStr">
        <is>
          <t>spun off</t>
        </is>
      </c>
      <c r="D46" s="25">
        <f>Historical!$E$31+Historical!$E$38</f>
        <v/>
      </c>
      <c r="E46" s="25">
        <f>Historical!$F$31+Historical!$F$38</f>
        <v/>
      </c>
      <c r="F46" s="38">
        <f>0</f>
        <v/>
      </c>
      <c r="G46" s="38">
        <f>0</f>
        <v/>
      </c>
      <c r="H46" s="38">
        <f>0</f>
        <v/>
      </c>
      <c r="I46" s="38">
        <f>0</f>
        <v/>
      </c>
      <c r="J46" s="38">
        <f>0</f>
        <v/>
      </c>
    </row>
    <row r="47">
      <c r="A47" s="6" t="inlineStr">
        <is>
          <t>Operating long-term assets (PP&amp;E, right-of-use, content, intangibles)</t>
        </is>
      </c>
      <c r="B47" s="2" t="inlineStr">
        <is>
          <t>prior + investment - D&amp;A</t>
        </is>
      </c>
      <c r="D47" s="25">
        <f>Historical!$E$39+Historical!$E$40+Historical!$E$42+Historical!$E$43</f>
        <v/>
      </c>
      <c r="E47" s="25">
        <f>Historical!$F$39+Historical!$F$40+Historical!$F$42+Historical!$F$43</f>
        <v/>
      </c>
      <c r="F47" s="38">
        <f>E47-F72-F65-F38</f>
        <v/>
      </c>
      <c r="G47" s="38">
        <f>F47-G72-G65-G38</f>
        <v/>
      </c>
      <c r="H47" s="38">
        <f>G47-H72-H65-H38</f>
        <v/>
      </c>
      <c r="I47" s="38">
        <f>H47-I72-I65-I38</f>
        <v/>
      </c>
      <c r="J47" s="38">
        <f>I47-J72-J65-J38</f>
        <v/>
      </c>
    </row>
    <row r="48">
      <c r="A48" s="6" t="inlineStr">
        <is>
          <t>Goodwill</t>
        </is>
      </c>
      <c r="B48" s="2" t="inlineStr">
        <is>
          <t>held flat</t>
        </is>
      </c>
      <c r="D48" s="37">
        <f>Historical!$E$41</f>
        <v/>
      </c>
      <c r="E48" s="37">
        <f>Historical!$F$41</f>
        <v/>
      </c>
      <c r="F48" s="38">
        <f>E48</f>
        <v/>
      </c>
      <c r="G48" s="38">
        <f>F48</f>
        <v/>
      </c>
      <c r="H48" s="38">
        <f>G48</f>
        <v/>
      </c>
      <c r="I48" s="38">
        <f>H48</f>
        <v/>
      </c>
      <c r="J48" s="38">
        <f>I48</f>
        <v/>
      </c>
    </row>
    <row r="49">
      <c r="A49" s="6" t="inlineStr">
        <is>
          <t>Other non-current assets (investments, deferred tax, other)</t>
        </is>
      </c>
      <c r="B49" s="2" t="inlineStr">
        <is>
          <t>held flat</t>
        </is>
      </c>
      <c r="D49" s="25">
        <f>Historical!$E$37+Historical!$E$44+Historical!$E$45+Historical!$E$46</f>
        <v/>
      </c>
      <c r="E49" s="25">
        <f>Historical!$F$37+Historical!$F$44+Historical!$F$45+Historical!$F$46</f>
        <v/>
      </c>
      <c r="F49" s="38">
        <f>E49</f>
        <v/>
      </c>
      <c r="G49" s="38">
        <f>F49</f>
        <v/>
      </c>
      <c r="H49" s="38">
        <f>G49</f>
        <v/>
      </c>
      <c r="I49" s="38">
        <f>H49</f>
        <v/>
      </c>
      <c r="J49" s="38">
        <f>I49</f>
        <v/>
      </c>
    </row>
    <row r="50">
      <c r="A50" s="5" t="inlineStr">
        <is>
          <t>Total assets</t>
        </is>
      </c>
      <c r="B50" s="2" t="inlineStr"/>
      <c r="D50" s="44">
        <f>D42+D43+D44+D45+D46+D47+D48+D49</f>
        <v/>
      </c>
      <c r="E50" s="44">
        <f>E42+E43+E44+E45+E46+E47+E48+E49</f>
        <v/>
      </c>
      <c r="F50" s="45">
        <f>F42+F43+F44+F45+F46+F47+F48+F49</f>
        <v/>
      </c>
      <c r="G50" s="45">
        <f>G42+G43+G44+G45+G46+G47+G48+G49</f>
        <v/>
      </c>
      <c r="H50" s="45">
        <f>H42+H43+H44+H45+H46+H47+H48+H49</f>
        <v/>
      </c>
      <c r="I50" s="45">
        <f>I42+I43+I44+I45+I46+I47+I48+I49</f>
        <v/>
      </c>
      <c r="J50" s="45">
        <f>J42+J43+J44+J45+J46+J47+J48+J49</f>
        <v/>
      </c>
    </row>
    <row r="51">
      <c r="A51" s="6" t="inlineStr">
        <is>
          <t>Trade and other payables</t>
        </is>
      </c>
      <c r="B51" s="2" t="inlineStr">
        <is>
          <t>days of cost of sales</t>
        </is>
      </c>
      <c r="D51" s="37">
        <f>Historical!$E$52</f>
        <v/>
      </c>
      <c r="E51" s="37">
        <f>Historical!$F$52</f>
        <v/>
      </c>
      <c r="F51" s="38">
        <f>Assumptions!$C$25/365*F26</f>
        <v/>
      </c>
      <c r="G51" s="38">
        <f>Assumptions!$C$25/365*G26</f>
        <v/>
      </c>
      <c r="H51" s="38">
        <f>Assumptions!$C$25/365*H26</f>
        <v/>
      </c>
      <c r="I51" s="38">
        <f>Assumptions!$C$25/365*I26</f>
        <v/>
      </c>
      <c r="J51" s="38">
        <f>Assumptions!$C$25/365*J26</f>
        <v/>
      </c>
    </row>
    <row r="52">
      <c r="A52" s="6" t="inlineStr">
        <is>
          <t>Other current liabilities</t>
        </is>
      </c>
      <c r="B52" s="2" t="inlineStr">
        <is>
          <t>% of sales</t>
        </is>
      </c>
      <c r="D52" s="25">
        <f>Historical!$E$54+Historical!$E$55+Historical!$E$56+Historical!$E$57+Historical!$E$58</f>
        <v/>
      </c>
      <c r="E52" s="25">
        <f>Historical!$F$54+Historical!$F$55+Historical!$F$56+Historical!$F$57+Historical!$F$58</f>
        <v/>
      </c>
      <c r="F52" s="38">
        <f>Assumptions!$C$27*F24</f>
        <v/>
      </c>
      <c r="G52" s="38">
        <f>Assumptions!$C$27*G24</f>
        <v/>
      </c>
      <c r="H52" s="38">
        <f>Assumptions!$C$27*H24</f>
        <v/>
      </c>
      <c r="I52" s="38">
        <f>Assumptions!$C$27*I24</f>
        <v/>
      </c>
      <c r="J52" s="38">
        <f>Assumptions!$C$27*J24</f>
        <v/>
      </c>
    </row>
    <row r="53">
      <c r="A53" s="6" t="inlineStr">
        <is>
          <t>Borrowings</t>
        </is>
      </c>
      <c r="B53" s="2" t="inlineStr">
        <is>
          <t>prior + net new borrowing</t>
        </is>
      </c>
      <c r="D53" s="25">
        <f>Historical!$E$49+Historical!$E$51+Historical!$E$60</f>
        <v/>
      </c>
      <c r="E53" s="25">
        <f>Historical!$F$49+Historical!$F$51+Historical!$F$60</f>
        <v/>
      </c>
      <c r="F53" s="38">
        <f>E53+Assumptions!$C$33</f>
        <v/>
      </c>
      <c r="G53" s="38">
        <f>F53+Assumptions!$C$33</f>
        <v/>
      </c>
      <c r="H53" s="38">
        <f>G53+Assumptions!$C$33</f>
        <v/>
      </c>
      <c r="I53" s="38">
        <f>H53+Assumptions!$C$33</f>
        <v/>
      </c>
      <c r="J53" s="38">
        <f>I53+Assumptions!$C$33</f>
        <v/>
      </c>
    </row>
    <row r="54">
      <c r="A54" s="6" t="inlineStr">
        <is>
          <t>Lease liabilities</t>
        </is>
      </c>
      <c r="B54" s="2" t="inlineStr">
        <is>
          <t>held flat</t>
        </is>
      </c>
      <c r="D54" s="25">
        <f>Historical!$E$50+Historical!$E$61</f>
        <v/>
      </c>
      <c r="E54" s="25">
        <f>Historical!$F$50+Historical!$F$61</f>
        <v/>
      </c>
      <c r="F54" s="38">
        <f>E54</f>
        <v/>
      </c>
      <c r="G54" s="38">
        <f>F54</f>
        <v/>
      </c>
      <c r="H54" s="38">
        <f>G54</f>
        <v/>
      </c>
      <c r="I54" s="38">
        <f>H54</f>
        <v/>
      </c>
      <c r="J54" s="38">
        <f>I54</f>
        <v/>
      </c>
    </row>
    <row r="55">
      <c r="A55" s="6" t="inlineStr">
        <is>
          <t>Financial Services liabilities (discontinued)</t>
        </is>
      </c>
      <c r="B55" s="2" t="inlineStr">
        <is>
          <t>spun off</t>
        </is>
      </c>
      <c r="D55" s="25">
        <f>Historical!$E$53+Historical!$E$64</f>
        <v/>
      </c>
      <c r="E55" s="25">
        <f>Historical!$F$53+Historical!$F$64</f>
        <v/>
      </c>
      <c r="F55" s="38">
        <f>0</f>
        <v/>
      </c>
      <c r="G55" s="38">
        <f>0</f>
        <v/>
      </c>
      <c r="H55" s="38">
        <f>0</f>
        <v/>
      </c>
      <c r="I55" s="38">
        <f>0</f>
        <v/>
      </c>
      <c r="J55" s="38">
        <f>0</f>
        <v/>
      </c>
    </row>
    <row r="56">
      <c r="A56" s="6" t="inlineStr">
        <is>
          <t>Other non-current liabilities</t>
        </is>
      </c>
      <c r="B56" s="2" t="inlineStr">
        <is>
          <t>held flat</t>
        </is>
      </c>
      <c r="D56" s="25">
        <f>Historical!$E$62+Historical!$E$63+Historical!$E$65+Historical!$E$66+Historical!$E$67</f>
        <v/>
      </c>
      <c r="E56" s="25">
        <f>Historical!$F$62+Historical!$F$63+Historical!$F$65+Historical!$F$66+Historical!$F$67</f>
        <v/>
      </c>
      <c r="F56" s="38">
        <f>E56</f>
        <v/>
      </c>
      <c r="G56" s="38">
        <f>F56</f>
        <v/>
      </c>
      <c r="H56" s="38">
        <f>G56</f>
        <v/>
      </c>
      <c r="I56" s="38">
        <f>H56</f>
        <v/>
      </c>
      <c r="J56" s="38">
        <f>I56</f>
        <v/>
      </c>
    </row>
    <row r="57">
      <c r="A57" s="6" t="inlineStr">
        <is>
          <t>Total liabilities</t>
        </is>
      </c>
      <c r="B57" s="2" t="inlineStr"/>
      <c r="D57" s="40">
        <f>D51+D52+D53+D54+D55+D56</f>
        <v/>
      </c>
      <c r="E57" s="40">
        <f>E51+E52+E53+E54+E55+E56</f>
        <v/>
      </c>
      <c r="F57" s="41">
        <f>F51+F52+F53+F54+F55+F56</f>
        <v/>
      </c>
      <c r="G57" s="41">
        <f>G51+G52+G53+G54+G55+G56</f>
        <v/>
      </c>
      <c r="H57" s="41">
        <f>H51+H52+H53+H54+H55+H56</f>
        <v/>
      </c>
      <c r="I57" s="41">
        <f>I51+I52+I53+I54+I55+I56</f>
        <v/>
      </c>
      <c r="J57" s="41">
        <f>J51+J52+J53+J54+J55+J56</f>
        <v/>
      </c>
    </row>
    <row r="58">
      <c r="A58" s="6" t="inlineStr">
        <is>
          <t>Total equity</t>
        </is>
      </c>
      <c r="B58" s="2" t="inlineStr">
        <is>
          <t>prior + income - payouts</t>
        </is>
      </c>
      <c r="D58" s="37">
        <f>Historical!$E$72</f>
        <v/>
      </c>
      <c r="E58" s="37">
        <f>Historical!$F$72</f>
        <v/>
      </c>
      <c r="F58" s="38">
        <f>E58+F37+F74+F75</f>
        <v/>
      </c>
      <c r="G58" s="38">
        <f>F58+G37+G74+G75</f>
        <v/>
      </c>
      <c r="H58" s="38">
        <f>G58+H37+H74+H75</f>
        <v/>
      </c>
      <c r="I58" s="38">
        <f>H58+I37+I74+I75</f>
        <v/>
      </c>
      <c r="J58" s="38">
        <f>I58+J37+J74+J75</f>
        <v/>
      </c>
    </row>
    <row r="59">
      <c r="A59" s="5" t="inlineStr">
        <is>
          <t>Total liabilities and equity</t>
        </is>
      </c>
      <c r="B59" s="2" t="inlineStr"/>
      <c r="D59" s="44">
        <f>D57+D58</f>
        <v/>
      </c>
      <c r="E59" s="44">
        <f>E57+E58</f>
        <v/>
      </c>
      <c r="F59" s="45">
        <f>F57+F58</f>
        <v/>
      </c>
      <c r="G59" s="45">
        <f>G57+G58</f>
        <v/>
      </c>
      <c r="H59" s="45">
        <f>H57+H58</f>
        <v/>
      </c>
      <c r="I59" s="45">
        <f>I57+I58</f>
        <v/>
      </c>
      <c r="J59" s="45">
        <f>J57+J58</f>
        <v/>
      </c>
    </row>
    <row r="60">
      <c r="A60" s="6" t="inlineStr">
        <is>
          <t>Balance check (assets less liabilities and equity; must be zero)</t>
        </is>
      </c>
      <c r="B60" s="2" t="inlineStr"/>
      <c r="D60" s="25">
        <f>D50-D59</f>
        <v/>
      </c>
      <c r="E60" s="25">
        <f>E50-E59</f>
        <v/>
      </c>
      <c r="F60" s="38">
        <f>ROUND(F50-F59,0)</f>
        <v/>
      </c>
      <c r="G60" s="38">
        <f>ROUND(G50-G59,0)</f>
        <v/>
      </c>
      <c r="H60" s="38">
        <f>ROUND(H50-H59,0)</f>
        <v/>
      </c>
      <c r="I60" s="38">
        <f>ROUND(I50-I59,0)</f>
        <v/>
      </c>
      <c r="J60" s="38">
        <f>ROUND(J50-J59,0)</f>
        <v/>
      </c>
    </row>
    <row r="62">
      <c r="A62" s="3" t="inlineStr">
        <is>
          <t>CASH FLOW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6" t="inlineStr">
        <is>
          <t>Net income from continuing operations</t>
        </is>
      </c>
      <c r="B63" s="2" t="inlineStr"/>
      <c r="F63" s="38">
        <f>F37</f>
        <v/>
      </c>
      <c r="G63" s="38">
        <f>G37</f>
        <v/>
      </c>
      <c r="H63" s="38">
        <f>H37</f>
        <v/>
      </c>
      <c r="I63" s="38">
        <f>I37</f>
        <v/>
      </c>
      <c r="J63" s="38">
        <f>J37</f>
        <v/>
      </c>
    </row>
    <row r="64">
      <c r="A64" s="6" t="inlineStr">
        <is>
          <t>Depreciation and amortization</t>
        </is>
      </c>
      <c r="B64" s="2" t="inlineStr"/>
      <c r="F64" s="38">
        <f>F38</f>
        <v/>
      </c>
      <c r="G64" s="38">
        <f>G38</f>
        <v/>
      </c>
      <c r="H64" s="38">
        <f>H38</f>
        <v/>
      </c>
      <c r="I64" s="38">
        <f>I38</f>
        <v/>
      </c>
      <c r="J64" s="38">
        <f>J38</f>
        <v/>
      </c>
    </row>
    <row r="65">
      <c r="A65" s="6" t="inlineStr">
        <is>
          <t>Investment in content assets</t>
        </is>
      </c>
      <c r="B65" s="2" t="inlineStr">
        <is>
          <t>% of sales</t>
        </is>
      </c>
      <c r="C65" s="37">
        <f>Historical!$D$77</f>
        <v/>
      </c>
      <c r="D65" s="37">
        <f>Historical!$E$77</f>
        <v/>
      </c>
      <c r="E65" s="37">
        <f>Historical!$F$77</f>
        <v/>
      </c>
      <c r="F65" s="38">
        <f>-Assumptions!$C$20*F24</f>
        <v/>
      </c>
      <c r="G65" s="38">
        <f>-Assumptions!$C$20*G24</f>
        <v/>
      </c>
      <c r="H65" s="38">
        <f>-Assumptions!$C$20*H24</f>
        <v/>
      </c>
      <c r="I65" s="38">
        <f>-Assumptions!$C$20*I24</f>
        <v/>
      </c>
      <c r="J65" s="38">
        <f>-Assumptions!$C$20*J24</f>
        <v/>
      </c>
    </row>
    <row r="66">
      <c r="A66" s="6" t="inlineStr">
        <is>
          <t>(Increase) decrease in receivables</t>
        </is>
      </c>
      <c r="B66" s="2" t="inlineStr"/>
      <c r="F66" s="38">
        <f>E43-F43</f>
        <v/>
      </c>
      <c r="G66" s="38">
        <f>F43-G43</f>
        <v/>
      </c>
      <c r="H66" s="38">
        <f>G43-H43</f>
        <v/>
      </c>
      <c r="I66" s="38">
        <f>H43-I43</f>
        <v/>
      </c>
      <c r="J66" s="38">
        <f>I43-J43</f>
        <v/>
      </c>
    </row>
    <row r="67">
      <c r="A67" s="6" t="inlineStr">
        <is>
          <t>(Increase) decrease in inventories</t>
        </is>
      </c>
      <c r="B67" s="2" t="inlineStr"/>
      <c r="F67" s="38">
        <f>E44-F44</f>
        <v/>
      </c>
      <c r="G67" s="38">
        <f>F44-G44</f>
        <v/>
      </c>
      <c r="H67" s="38">
        <f>G44-H44</f>
        <v/>
      </c>
      <c r="I67" s="38">
        <f>H44-I44</f>
        <v/>
      </c>
      <c r="J67" s="38">
        <f>I44-J44</f>
        <v/>
      </c>
    </row>
    <row r="68">
      <c r="A68" s="6" t="inlineStr">
        <is>
          <t>(Increase) decrease in other current assets</t>
        </is>
      </c>
      <c r="B68" s="2" t="inlineStr"/>
      <c r="F68" s="38">
        <f>E45-F45</f>
        <v/>
      </c>
      <c r="G68" s="38">
        <f>F45-G45</f>
        <v/>
      </c>
      <c r="H68" s="38">
        <f>G45-H45</f>
        <v/>
      </c>
      <c r="I68" s="38">
        <f>H45-I45</f>
        <v/>
      </c>
      <c r="J68" s="38">
        <f>I45-J45</f>
        <v/>
      </c>
    </row>
    <row r="69">
      <c r="A69" s="6" t="inlineStr">
        <is>
          <t>Increase (decrease) in payables</t>
        </is>
      </c>
      <c r="B69" s="2" t="inlineStr"/>
      <c r="F69" s="38">
        <f>F51-E51</f>
        <v/>
      </c>
      <c r="G69" s="38">
        <f>G51-F51</f>
        <v/>
      </c>
      <c r="H69" s="38">
        <f>H51-G51</f>
        <v/>
      </c>
      <c r="I69" s="38">
        <f>I51-H51</f>
        <v/>
      </c>
      <c r="J69" s="38">
        <f>J51-I51</f>
        <v/>
      </c>
    </row>
    <row r="70">
      <c r="A70" s="6" t="inlineStr">
        <is>
          <t>Increase (decrease) in other current liabilities</t>
        </is>
      </c>
      <c r="B70" s="2" t="inlineStr"/>
      <c r="F70" s="38">
        <f>F52-E52</f>
        <v/>
      </c>
      <c r="G70" s="38">
        <f>G52-F52</f>
        <v/>
      </c>
      <c r="H70" s="38">
        <f>H52-G52</f>
        <v/>
      </c>
      <c r="I70" s="38">
        <f>I52-H52</f>
        <v/>
      </c>
      <c r="J70" s="38">
        <f>J52-I52</f>
        <v/>
      </c>
    </row>
    <row r="71">
      <c r="A71" s="5" t="inlineStr">
        <is>
          <t>Cash from operating activities</t>
        </is>
      </c>
      <c r="B71" s="2" t="inlineStr"/>
      <c r="C71" s="46">
        <f>Historical!$D$76</f>
        <v/>
      </c>
      <c r="D71" s="46">
        <f>Historical!$E$76</f>
        <v/>
      </c>
      <c r="E71" s="46">
        <f>Historical!$F$76</f>
        <v/>
      </c>
      <c r="F71" s="45">
        <f>F63+F64+F65+F66+F67+F68+F69+F70</f>
        <v/>
      </c>
      <c r="G71" s="45">
        <f>G63+G64+G65+G66+G67+G68+G69+G70</f>
        <v/>
      </c>
      <c r="H71" s="45">
        <f>H63+H64+H65+H66+H67+H68+H69+H70</f>
        <v/>
      </c>
      <c r="I71" s="45">
        <f>I63+I64+I65+I66+I67+I68+I69+I70</f>
        <v/>
      </c>
      <c r="J71" s="45">
        <f>J63+J64+J65+J66+J67+J68+J69+J70</f>
        <v/>
      </c>
    </row>
    <row r="72">
      <c r="A72" s="6" t="inlineStr">
        <is>
          <t>Capital expenditure</t>
        </is>
      </c>
      <c r="B72" s="2" t="inlineStr">
        <is>
          <t>% of sales</t>
        </is>
      </c>
      <c r="C72" s="37">
        <f>Historical!$D$78</f>
        <v/>
      </c>
      <c r="D72" s="37">
        <f>Historical!$E$78</f>
        <v/>
      </c>
      <c r="E72" s="37">
        <f>Historical!$F$78</f>
        <v/>
      </c>
      <c r="F72" s="38">
        <f>-Assumptions!$C$19*F24</f>
        <v/>
      </c>
      <c r="G72" s="38">
        <f>-Assumptions!$C$19*G24</f>
        <v/>
      </c>
      <c r="H72" s="38">
        <f>-Assumptions!$C$19*H24</f>
        <v/>
      </c>
      <c r="I72" s="38">
        <f>-Assumptions!$C$19*I24</f>
        <v/>
      </c>
      <c r="J72" s="38">
        <f>-Assumptions!$C$19*J24</f>
        <v/>
      </c>
    </row>
    <row r="73">
      <c r="A73" s="6" t="inlineStr">
        <is>
          <t>Net new borrowing</t>
        </is>
      </c>
      <c r="B73" s="2" t="inlineStr"/>
      <c r="F73" s="47">
        <f>Assumptions!$C$33</f>
        <v/>
      </c>
      <c r="G73" s="47">
        <f>Assumptions!$C$33</f>
        <v/>
      </c>
      <c r="H73" s="47">
        <f>Assumptions!$C$33</f>
        <v/>
      </c>
      <c r="I73" s="47">
        <f>Assumptions!$C$33</f>
        <v/>
      </c>
      <c r="J73" s="47">
        <f>Assumptions!$C$33</f>
        <v/>
      </c>
    </row>
    <row r="74">
      <c r="A74" s="6" t="inlineStr">
        <is>
          <t>Dividends paid</t>
        </is>
      </c>
      <c r="B74" s="2" t="inlineStr">
        <is>
          <t>% of net income</t>
        </is>
      </c>
      <c r="C74" s="37">
        <f>Historical!$D$80</f>
        <v/>
      </c>
      <c r="D74" s="37">
        <f>Historical!$E$80</f>
        <v/>
      </c>
      <c r="E74" s="37">
        <f>Historical!$F$80</f>
        <v/>
      </c>
      <c r="F74" s="38">
        <f>-Assumptions!$C$31*F37</f>
        <v/>
      </c>
      <c r="G74" s="38">
        <f>-Assumptions!$C$31*G37</f>
        <v/>
      </c>
      <c r="H74" s="38">
        <f>-Assumptions!$C$31*H37</f>
        <v/>
      </c>
      <c r="I74" s="38">
        <f>-Assumptions!$C$31*I37</f>
        <v/>
      </c>
      <c r="J74" s="38">
        <f>-Assumptions!$C$31*J37</f>
        <v/>
      </c>
    </row>
    <row r="75">
      <c r="A75" s="6" t="inlineStr">
        <is>
          <t>Share repurchases</t>
        </is>
      </c>
      <c r="B75" s="2" t="inlineStr"/>
      <c r="C75" s="37">
        <f>Historical!$D$81</f>
        <v/>
      </c>
      <c r="D75" s="37">
        <f>Historical!$E$81</f>
        <v/>
      </c>
      <c r="E75" s="37">
        <f>Historical!$F$81</f>
        <v/>
      </c>
      <c r="F75" s="38">
        <f>-Assumptions!$C$32</f>
        <v/>
      </c>
      <c r="G75" s="38">
        <f>-Assumptions!$C$32</f>
        <v/>
      </c>
      <c r="H75" s="38">
        <f>-Assumptions!$C$32</f>
        <v/>
      </c>
      <c r="I75" s="38">
        <f>-Assumptions!$C$32</f>
        <v/>
      </c>
      <c r="J75" s="38">
        <f>-Assumptions!$C$32</f>
        <v/>
      </c>
    </row>
    <row r="76">
      <c r="A76" s="6" t="inlineStr">
        <is>
          <t>Net change in cash</t>
        </is>
      </c>
      <c r="B76" s="2" t="inlineStr"/>
      <c r="F76" s="41">
        <f>F71+F72+F73+F74+F75</f>
        <v/>
      </c>
      <c r="G76" s="41">
        <f>G71+G72+G73+G74+G75</f>
        <v/>
      </c>
      <c r="H76" s="41">
        <f>H71+H72+H73+H74+H75</f>
        <v/>
      </c>
      <c r="I76" s="41">
        <f>I71+I72+I73+I74+I75</f>
        <v/>
      </c>
      <c r="J76" s="41">
        <f>J71+J72+J73+J74+J75</f>
        <v/>
      </c>
    </row>
    <row r="77">
      <c r="A77" s="6" t="inlineStr">
        <is>
          <t>Cash at beginning of year</t>
        </is>
      </c>
      <c r="B77" s="2" t="inlineStr"/>
      <c r="F77" s="38">
        <f>E42</f>
        <v/>
      </c>
      <c r="G77" s="38">
        <f>F42</f>
        <v/>
      </c>
      <c r="H77" s="38">
        <f>G42</f>
        <v/>
      </c>
      <c r="I77" s="38">
        <f>H42</f>
        <v/>
      </c>
      <c r="J77" s="38">
        <f>I42</f>
        <v/>
      </c>
    </row>
    <row r="78">
      <c r="A78" s="5" t="inlineStr">
        <is>
          <t>Cash at end of year</t>
        </is>
      </c>
      <c r="B78" s="2" t="inlineStr"/>
      <c r="C78" s="42">
        <f>Historical!$D$83</f>
        <v/>
      </c>
      <c r="D78" s="42">
        <f>Historical!$E$83</f>
        <v/>
      </c>
      <c r="E78" s="42">
        <f>Historical!$F$83</f>
        <v/>
      </c>
      <c r="F78" s="43">
        <f>F77+F76</f>
        <v/>
      </c>
      <c r="G78" s="43">
        <f>G77+G76</f>
        <v/>
      </c>
      <c r="H78" s="43">
        <f>H77+H76</f>
        <v/>
      </c>
      <c r="I78" s="43">
        <f>I77+I76</f>
        <v/>
      </c>
      <c r="J78" s="43">
        <f>J77+J76</f>
        <v/>
      </c>
    </row>
    <row r="80">
      <c r="A80" s="3" t="inlineStr">
        <is>
          <t>FREE CASH FLOW AND DCF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6" t="inlineStr">
        <is>
          <t>Operating income</t>
        </is>
      </c>
      <c r="B81" s="2" t="inlineStr"/>
      <c r="F81" s="38">
        <f>F31</f>
        <v/>
      </c>
      <c r="G81" s="38">
        <f>G31</f>
        <v/>
      </c>
      <c r="H81" s="38">
        <f>H31</f>
        <v/>
      </c>
      <c r="I81" s="38">
        <f>I31</f>
        <v/>
      </c>
      <c r="J81" s="38">
        <f>J31</f>
        <v/>
      </c>
    </row>
    <row r="82">
      <c r="A82" s="6" t="inlineStr">
        <is>
          <t>Less: tax on operating income</t>
        </is>
      </c>
      <c r="B82" s="2" t="inlineStr"/>
      <c r="F82" s="38">
        <f>-Assumptions!$C$21*F31</f>
        <v/>
      </c>
      <c r="G82" s="38">
        <f>-Assumptions!$C$21*G31</f>
        <v/>
      </c>
      <c r="H82" s="38">
        <f>-Assumptions!$C$21*H31</f>
        <v/>
      </c>
      <c r="I82" s="38">
        <f>-Assumptions!$C$21*I31</f>
        <v/>
      </c>
      <c r="J82" s="38">
        <f>-Assumptions!$C$21*J31</f>
        <v/>
      </c>
    </row>
    <row r="83">
      <c r="A83" s="6" t="inlineStr">
        <is>
          <t>Net operating profit after tax</t>
        </is>
      </c>
      <c r="B83" s="2" t="inlineStr"/>
      <c r="F83" s="41">
        <f>F81+F82</f>
        <v/>
      </c>
      <c r="G83" s="41">
        <f>G81+G82</f>
        <v/>
      </c>
      <c r="H83" s="41">
        <f>H81+H82</f>
        <v/>
      </c>
      <c r="I83" s="41">
        <f>I81+I82</f>
        <v/>
      </c>
      <c r="J83" s="41">
        <f>J81+J82</f>
        <v/>
      </c>
    </row>
    <row r="84">
      <c r="A84" s="6" t="inlineStr">
        <is>
          <t>Plus: depreciation and amortization</t>
        </is>
      </c>
      <c r="B84" s="2" t="inlineStr"/>
      <c r="F84" s="38">
        <f>F38</f>
        <v/>
      </c>
      <c r="G84" s="38">
        <f>G38</f>
        <v/>
      </c>
      <c r="H84" s="38">
        <f>H38</f>
        <v/>
      </c>
      <c r="I84" s="38">
        <f>I38</f>
        <v/>
      </c>
      <c r="J84" s="38">
        <f>J38</f>
        <v/>
      </c>
    </row>
    <row r="85">
      <c r="A85" s="6" t="inlineStr">
        <is>
          <t>Less: capital expenditure</t>
        </is>
      </c>
      <c r="B85" s="2" t="inlineStr"/>
      <c r="F85" s="38">
        <f>F72</f>
        <v/>
      </c>
      <c r="G85" s="38">
        <f>G72</f>
        <v/>
      </c>
      <c r="H85" s="38">
        <f>H72</f>
        <v/>
      </c>
      <c r="I85" s="38">
        <f>I72</f>
        <v/>
      </c>
      <c r="J85" s="38">
        <f>J72</f>
        <v/>
      </c>
    </row>
    <row r="86">
      <c r="A86" s="6" t="inlineStr">
        <is>
          <t>Less: investment in content assets</t>
        </is>
      </c>
      <c r="B86" s="2" t="inlineStr"/>
      <c r="F86" s="38">
        <f>F65</f>
        <v/>
      </c>
      <c r="G86" s="38">
        <f>G65</f>
        <v/>
      </c>
      <c r="H86" s="38">
        <f>H65</f>
        <v/>
      </c>
      <c r="I86" s="38">
        <f>I65</f>
        <v/>
      </c>
      <c r="J86" s="38">
        <f>J65</f>
        <v/>
      </c>
    </row>
    <row r="87">
      <c r="A87" s="6" t="inlineStr">
        <is>
          <t>Less: increase in working capital</t>
        </is>
      </c>
      <c r="B87" s="2" t="inlineStr"/>
      <c r="F87" s="38">
        <f>F66+F67+F68+F69+F70</f>
        <v/>
      </c>
      <c r="G87" s="38">
        <f>G66+G67+G68+G69+G70</f>
        <v/>
      </c>
      <c r="H87" s="38">
        <f>H66+H67+H68+H69+H70</f>
        <v/>
      </c>
      <c r="I87" s="38">
        <f>I66+I67+I68+I69+I70</f>
        <v/>
      </c>
      <c r="J87" s="38">
        <f>J66+J67+J68+J69+J70</f>
        <v/>
      </c>
    </row>
    <row r="88">
      <c r="A88" s="5" t="inlineStr">
        <is>
          <t>Free cash flow to the firm</t>
        </is>
      </c>
      <c r="B88" s="2" t="inlineStr"/>
      <c r="F88" s="45">
        <f>F83+F84+F85+F86+F87</f>
        <v/>
      </c>
      <c r="G88" s="45">
        <f>G83+G84+G85+G86+G87</f>
        <v/>
      </c>
      <c r="H88" s="45">
        <f>H83+H84+H85+H86+H87</f>
        <v/>
      </c>
      <c r="I88" s="45">
        <f>I83+I84+I85+I86+I87</f>
        <v/>
      </c>
      <c r="J88" s="45">
        <f>J83+J84+J85+J86+J87</f>
        <v/>
      </c>
    </row>
    <row r="89">
      <c r="A89" s="6" t="inlineStr">
        <is>
          <t>Discount factor</t>
        </is>
      </c>
      <c r="B89" s="2" t="inlineStr">
        <is>
          <t>1 / (1 + WACC)^year</t>
        </is>
      </c>
      <c r="F89" s="48">
        <f>1/(1+Assumptions!$C$50)^F$5</f>
        <v/>
      </c>
      <c r="G89" s="48">
        <f>1/(1+Assumptions!$C$50)^G$5</f>
        <v/>
      </c>
      <c r="H89" s="48">
        <f>1/(1+Assumptions!$C$50)^H$5</f>
        <v/>
      </c>
      <c r="I89" s="48">
        <f>1/(1+Assumptions!$C$50)^I$5</f>
        <v/>
      </c>
      <c r="J89" s="48">
        <f>1/(1+Assumptions!$C$50)^J$5</f>
        <v/>
      </c>
    </row>
    <row r="90">
      <c r="A90" s="6" t="inlineStr">
        <is>
          <t>Present value of free cash flow</t>
        </is>
      </c>
      <c r="B90" s="2" t="inlineStr"/>
      <c r="F90" s="38">
        <f>F88*F89</f>
        <v/>
      </c>
      <c r="G90" s="38">
        <f>G88*G89</f>
        <v/>
      </c>
      <c r="H90" s="38">
        <f>H88*H89</f>
        <v/>
      </c>
      <c r="I90" s="38">
        <f>I88*I89</f>
        <v/>
      </c>
      <c r="J90" s="38">
        <f>J88*J89</f>
        <v/>
      </c>
    </row>
    <row r="92">
      <c r="A92" s="3" t="inlineStr">
        <is>
          <t>VALUATION (as of March 31, 2026)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6" t="inlineStr">
        <is>
          <t>WACC</t>
        </is>
      </c>
      <c r="C93" s="49">
        <f>Assumptions!$C$50</f>
        <v/>
      </c>
      <c r="D93" s="2" t="inlineStr"/>
    </row>
    <row r="94">
      <c r="A94" s="6" t="inlineStr">
        <is>
          <t>Terminal growth rate</t>
        </is>
      </c>
      <c r="C94" s="49">
        <f>Assumptions!$C$35</f>
        <v/>
      </c>
      <c r="D94" s="2" t="inlineStr"/>
    </row>
    <row r="95">
      <c r="A95" s="6" t="inlineStr">
        <is>
          <t>Present value of FY2026–FY2030 free cash flow</t>
        </is>
      </c>
      <c r="C95" s="25">
        <f>SUM(F90:J90)</f>
        <v/>
      </c>
      <c r="D95" s="2" t="inlineStr"/>
    </row>
    <row r="96">
      <c r="A96" s="6" t="inlineStr">
        <is>
          <t>Terminal value at FY2030</t>
        </is>
      </c>
      <c r="C96" s="25">
        <f>J88*(1+$C$94)/($C$93-$C$94)</f>
        <v/>
      </c>
      <c r="D96" s="2" t="inlineStr">
        <is>
          <t>Gordon growth: FCF x (1 + g) / (WACC - g)</t>
        </is>
      </c>
    </row>
    <row r="97">
      <c r="A97" s="6" t="inlineStr">
        <is>
          <t>Present value of terminal value</t>
        </is>
      </c>
      <c r="C97" s="25">
        <f>$C$96*J89</f>
        <v/>
      </c>
      <c r="D97" s="2" t="inlineStr"/>
    </row>
    <row r="98">
      <c r="A98" s="5" t="inlineStr">
        <is>
          <t>Enterprise value</t>
        </is>
      </c>
      <c r="C98" s="50">
        <f>$C$95+$C$97</f>
        <v/>
      </c>
      <c r="D98" s="2" t="inlineStr"/>
    </row>
    <row r="99">
      <c r="A99" s="6" t="inlineStr">
        <is>
          <t>Plus: cash and cash equivalents</t>
        </is>
      </c>
      <c r="C99" s="25">
        <f>E42</f>
        <v/>
      </c>
      <c r="D99" s="2" t="inlineStr"/>
    </row>
    <row r="100">
      <c r="A100" s="6" t="inlineStr">
        <is>
          <t>Plus: equity-method investments and other financial assets</t>
        </is>
      </c>
      <c r="C100" s="25">
        <f>Historical!$F$37+Historical!$F$34+Historical!$F$45</f>
        <v/>
      </c>
      <c r="D100" s="2" t="inlineStr">
        <is>
          <t>Book value; their income is excluded from operating income</t>
        </is>
      </c>
    </row>
    <row r="101">
      <c r="A101" s="6" t="inlineStr">
        <is>
          <t>Less: borrowings</t>
        </is>
      </c>
      <c r="C101" s="25">
        <f>-E53</f>
        <v/>
      </c>
      <c r="D101" s="2" t="inlineStr"/>
    </row>
    <row r="102">
      <c r="A102" s="6" t="inlineStr">
        <is>
          <t>Less: lease liabilities</t>
        </is>
      </c>
      <c r="C102" s="25">
        <f>-E54</f>
        <v/>
      </c>
      <c r="D102" s="2" t="inlineStr"/>
    </row>
    <row r="103">
      <c r="A103" s="6" t="inlineStr">
        <is>
          <t>Less: defined benefit liabilities</t>
        </is>
      </c>
      <c r="C103" s="25">
        <f>-Historical!$F$62</f>
        <v/>
      </c>
      <c r="D103" s="2" t="inlineStr"/>
    </row>
    <row r="104">
      <c r="A104" s="6" t="inlineStr">
        <is>
          <t>Less: noncontrolling interests</t>
        </is>
      </c>
      <c r="C104" s="25">
        <f>-Historical!$F$71</f>
        <v/>
      </c>
      <c r="D104" s="2" t="inlineStr">
        <is>
          <t>Book value</t>
        </is>
      </c>
    </row>
    <row r="105">
      <c r="A105" s="6" t="inlineStr">
        <is>
          <t>Net non-operating items</t>
        </is>
      </c>
      <c r="C105" s="25">
        <f>$C$99+$C$100+$C$101+$C$102+$C$103+$C$104</f>
        <v/>
      </c>
      <c r="D105" s="2" t="inlineStr"/>
    </row>
    <row r="106">
      <c r="A106" s="5" t="inlineStr">
        <is>
          <t>Equity value</t>
        </is>
      </c>
      <c r="C106" s="50">
        <f>$C$98+$C$105</f>
        <v/>
      </c>
      <c r="D106" s="2" t="inlineStr"/>
    </row>
    <row r="107">
      <c r="A107" s="5" t="inlineStr">
        <is>
          <t>Value per share (¥)</t>
        </is>
      </c>
      <c r="C107" s="51">
        <f>$C$106*1000000/Assumptions!$C$42</f>
        <v/>
      </c>
      <c r="D107" s="2" t="inlineStr"/>
    </row>
    <row r="108">
      <c r="A108" s="5" t="inlineStr">
        <is>
          <t>Value per ADR (US$)</t>
        </is>
      </c>
      <c r="C108" s="52">
        <f>$C$107/Assumptions!$C$41</f>
        <v/>
      </c>
      <c r="D108" s="2" t="inlineStr"/>
    </row>
    <row r="109">
      <c r="A109" s="6" t="inlineStr">
        <is>
          <t>Market price per share (¥)</t>
        </is>
      </c>
      <c r="C109" s="53">
        <f>Assumptions!$C$43</f>
        <v/>
      </c>
      <c r="D109" s="2" t="inlineStr"/>
    </row>
    <row r="110">
      <c r="A110" s="5" t="inlineStr">
        <is>
          <t>Value versus market price</t>
        </is>
      </c>
      <c r="C110" s="54">
        <f>$C$107/$C$109-1</f>
        <v/>
      </c>
      <c r="D110" s="2" t="inlineStr"/>
    </row>
    <row r="111">
      <c r="A111" s="6" t="inlineStr">
        <is>
          <t>Terminal value as share of enterprise value</t>
        </is>
      </c>
      <c r="C111" s="55">
        <f>$C$97/$C$98</f>
        <v/>
      </c>
      <c r="D111" s="2" t="inlineStr"/>
    </row>
    <row r="112">
      <c r="A112" s="6" t="inlineStr">
        <is>
          <t>Implied EV / FY2025 EBITDA</t>
        </is>
      </c>
      <c r="C112" s="56">
        <f>$C$98/E39</f>
        <v/>
      </c>
      <c r="D11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26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</cols>
  <sheetData>
    <row r="1">
      <c r="A1" s="1" t="inlineStr">
        <is>
          <t>Sony Group — Upside case: three statements and DCF</t>
        </is>
      </c>
    </row>
    <row r="2">
      <c r="A2" s="2" t="inlineStr">
        <is>
          <t>¥ millions unless stated. A = reported, E = forecast. Every forecast cell is a formula driven by the Upside column of the Assumptions sheet.</t>
        </is>
      </c>
    </row>
    <row r="4">
      <c r="A4" s="18" t="inlineStr"/>
      <c r="B4" s="12" t="inlineStr">
        <is>
          <t>Driver</t>
        </is>
      </c>
      <c r="C4" s="12" t="inlineStr">
        <is>
          <t>FY2023A</t>
        </is>
      </c>
      <c r="D4" s="12" t="inlineStr">
        <is>
          <t>FY2024A</t>
        </is>
      </c>
      <c r="E4" s="12" t="inlineStr">
        <is>
          <t>FY2025A</t>
        </is>
      </c>
      <c r="F4" s="12" t="inlineStr">
        <is>
          <t>FY2026E</t>
        </is>
      </c>
      <c r="G4" s="12" t="inlineStr">
        <is>
          <t>FY2027E</t>
        </is>
      </c>
      <c r="H4" s="12" t="inlineStr">
        <is>
          <t>FY2028E</t>
        </is>
      </c>
      <c r="I4" s="12" t="inlineStr">
        <is>
          <t>FY2029E</t>
        </is>
      </c>
      <c r="J4" s="12" t="inlineStr">
        <is>
          <t>FY2030E</t>
        </is>
      </c>
    </row>
    <row r="5">
      <c r="A5" s="2" t="inlineStr">
        <is>
          <t>Forecast year</t>
        </is>
      </c>
      <c r="F5" s="36" t="n">
        <v>1</v>
      </c>
      <c r="G5" s="36" t="n">
        <v>2</v>
      </c>
      <c r="H5" s="36" t="n">
        <v>3</v>
      </c>
      <c r="I5" s="36" t="n">
        <v>4</v>
      </c>
      <c r="J5" s="36" t="n">
        <v>5</v>
      </c>
    </row>
    <row r="7">
      <c r="A7" s="3" t="inlineStr">
        <is>
          <t>REVENUE BUILD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6" t="inlineStr">
        <is>
          <t>Game &amp; Network Services</t>
        </is>
      </c>
      <c r="B8" s="2" t="inlineStr"/>
      <c r="C8" s="37">
        <f>Historical!$D$6</f>
        <v/>
      </c>
      <c r="D8" s="37">
        <f>Historical!$E$6</f>
        <v/>
      </c>
      <c r="E8" s="37">
        <f>Historical!$F$6</f>
        <v/>
      </c>
      <c r="F8" s="38">
        <f>E8*(1+F9)</f>
        <v/>
      </c>
      <c r="G8" s="38">
        <f>F8*(1+G9)</f>
        <v/>
      </c>
      <c r="H8" s="38">
        <f>G8*(1+H9)</f>
        <v/>
      </c>
      <c r="I8" s="38">
        <f>H8*(1+I9)</f>
        <v/>
      </c>
      <c r="J8" s="38">
        <f>I8*(1+J9)</f>
        <v/>
      </c>
    </row>
    <row r="9">
      <c r="A9" s="6" t="inlineStr">
        <is>
          <t xml:space="preserve">   growth</t>
        </is>
      </c>
      <c r="B9" s="2" t="inlineStr">
        <is>
          <t>start, fading to long-run</t>
        </is>
      </c>
      <c r="C9" s="22">
        <f>Historical!$D$6/Historical!$C$6-1</f>
        <v/>
      </c>
      <c r="D9" s="22">
        <f>Historical!$E$6/Historical!$D$6-1</f>
        <v/>
      </c>
      <c r="E9" s="22">
        <f>Historical!$F$6/Historical!$E$6-1</f>
        <v/>
      </c>
      <c r="F9" s="39">
        <f>Assumptions!$D$6+(Assumptions!$D$13-Assumptions!$D$6)*(F$5-1)/4+Assumptions!$D$12</f>
        <v/>
      </c>
      <c r="G9" s="39">
        <f>Assumptions!$D$6+(Assumptions!$D$13-Assumptions!$D$6)*(G$5-1)/4+Assumptions!$D$12</f>
        <v/>
      </c>
      <c r="H9" s="39">
        <f>Assumptions!$D$6+(Assumptions!$D$13-Assumptions!$D$6)*(H$5-1)/4+Assumptions!$D$12</f>
        <v/>
      </c>
      <c r="I9" s="39">
        <f>Assumptions!$D$6+(Assumptions!$D$13-Assumptions!$D$6)*(I$5-1)/4+Assumptions!$D$12</f>
        <v/>
      </c>
      <c r="J9" s="39">
        <f>Assumptions!$D$6+(Assumptions!$D$13-Assumptions!$D$6)*(J$5-1)/4+Assumptions!$D$12</f>
        <v/>
      </c>
    </row>
    <row r="10">
      <c r="A10" s="6" t="inlineStr">
        <is>
          <t>Music</t>
        </is>
      </c>
      <c r="B10" s="2" t="inlineStr"/>
      <c r="C10" s="37">
        <f>Historical!$D$7</f>
        <v/>
      </c>
      <c r="D10" s="37">
        <f>Historical!$E$7</f>
        <v/>
      </c>
      <c r="E10" s="37">
        <f>Historical!$F$7</f>
        <v/>
      </c>
      <c r="F10" s="38">
        <f>E10*(1+F11)</f>
        <v/>
      </c>
      <c r="G10" s="38">
        <f>F10*(1+G11)</f>
        <v/>
      </c>
      <c r="H10" s="38">
        <f>G10*(1+H11)</f>
        <v/>
      </c>
      <c r="I10" s="38">
        <f>H10*(1+I11)</f>
        <v/>
      </c>
      <c r="J10" s="38">
        <f>I10*(1+J11)</f>
        <v/>
      </c>
    </row>
    <row r="11">
      <c r="A11" s="6" t="inlineStr">
        <is>
          <t xml:space="preserve">   growth</t>
        </is>
      </c>
      <c r="B11" s="2" t="inlineStr">
        <is>
          <t>start, fading to long-run</t>
        </is>
      </c>
      <c r="C11" s="22">
        <f>Historical!$D$7/Historical!$C$7-1</f>
        <v/>
      </c>
      <c r="D11" s="22">
        <f>Historical!$E$7/Historical!$D$7-1</f>
        <v/>
      </c>
      <c r="E11" s="22">
        <f>Historical!$F$7/Historical!$E$7-1</f>
        <v/>
      </c>
      <c r="F11" s="39">
        <f>Assumptions!$D$7+(Assumptions!$D$13-Assumptions!$D$7)*(F$5-1)/4+Assumptions!$D$12</f>
        <v/>
      </c>
      <c r="G11" s="39">
        <f>Assumptions!$D$7+(Assumptions!$D$13-Assumptions!$D$7)*(G$5-1)/4+Assumptions!$D$12</f>
        <v/>
      </c>
      <c r="H11" s="39">
        <f>Assumptions!$D$7+(Assumptions!$D$13-Assumptions!$D$7)*(H$5-1)/4+Assumptions!$D$12</f>
        <v/>
      </c>
      <c r="I11" s="39">
        <f>Assumptions!$D$7+(Assumptions!$D$13-Assumptions!$D$7)*(I$5-1)/4+Assumptions!$D$12</f>
        <v/>
      </c>
      <c r="J11" s="39">
        <f>Assumptions!$D$7+(Assumptions!$D$13-Assumptions!$D$7)*(J$5-1)/4+Assumptions!$D$12</f>
        <v/>
      </c>
    </row>
    <row r="12">
      <c r="A12" s="6" t="inlineStr">
        <is>
          <t>Pictures</t>
        </is>
      </c>
      <c r="B12" s="2" t="inlineStr"/>
      <c r="C12" s="37">
        <f>Historical!$D$8</f>
        <v/>
      </c>
      <c r="D12" s="37">
        <f>Historical!$E$8</f>
        <v/>
      </c>
      <c r="E12" s="37">
        <f>Historical!$F$8</f>
        <v/>
      </c>
      <c r="F12" s="38">
        <f>E12*(1+F13)</f>
        <v/>
      </c>
      <c r="G12" s="38">
        <f>F12*(1+G13)</f>
        <v/>
      </c>
      <c r="H12" s="38">
        <f>G12*(1+H13)</f>
        <v/>
      </c>
      <c r="I12" s="38">
        <f>H12*(1+I13)</f>
        <v/>
      </c>
      <c r="J12" s="38">
        <f>I12*(1+J13)</f>
        <v/>
      </c>
    </row>
    <row r="13">
      <c r="A13" s="6" t="inlineStr">
        <is>
          <t xml:space="preserve">   growth</t>
        </is>
      </c>
      <c r="B13" s="2" t="inlineStr">
        <is>
          <t>start, fading to long-run</t>
        </is>
      </c>
      <c r="C13" s="22">
        <f>Historical!$D$8/Historical!$C$8-1</f>
        <v/>
      </c>
      <c r="D13" s="22">
        <f>Historical!$E$8/Historical!$D$8-1</f>
        <v/>
      </c>
      <c r="E13" s="22">
        <f>Historical!$F$8/Historical!$E$8-1</f>
        <v/>
      </c>
      <c r="F13" s="39">
        <f>Assumptions!$D$8+(Assumptions!$D$13-Assumptions!$D$8)*(F$5-1)/4+Assumptions!$D$12</f>
        <v/>
      </c>
      <c r="G13" s="39">
        <f>Assumptions!$D$8+(Assumptions!$D$13-Assumptions!$D$8)*(G$5-1)/4+Assumptions!$D$12</f>
        <v/>
      </c>
      <c r="H13" s="39">
        <f>Assumptions!$D$8+(Assumptions!$D$13-Assumptions!$D$8)*(H$5-1)/4+Assumptions!$D$12</f>
        <v/>
      </c>
      <c r="I13" s="39">
        <f>Assumptions!$D$8+(Assumptions!$D$13-Assumptions!$D$8)*(I$5-1)/4+Assumptions!$D$12</f>
        <v/>
      </c>
      <c r="J13" s="39">
        <f>Assumptions!$D$8+(Assumptions!$D$13-Assumptions!$D$8)*(J$5-1)/4+Assumptions!$D$12</f>
        <v/>
      </c>
    </row>
    <row r="14">
      <c r="A14" s="6" t="inlineStr">
        <is>
          <t>Entertainment Technology &amp; Services</t>
        </is>
      </c>
      <c r="B14" s="2" t="inlineStr"/>
      <c r="C14" s="37">
        <f>Historical!$D$9</f>
        <v/>
      </c>
      <c r="D14" s="37">
        <f>Historical!$E$9</f>
        <v/>
      </c>
      <c r="E14" s="37">
        <f>Historical!$F$9</f>
        <v/>
      </c>
      <c r="F14" s="38">
        <f>E14*(1+F15)</f>
        <v/>
      </c>
      <c r="G14" s="38">
        <f>F14*(1+G15)</f>
        <v/>
      </c>
      <c r="H14" s="38">
        <f>G14*(1+H15)</f>
        <v/>
      </c>
      <c r="I14" s="38">
        <f>H14*(1+I15)</f>
        <v/>
      </c>
      <c r="J14" s="38">
        <f>I14*(1+J15)</f>
        <v/>
      </c>
    </row>
    <row r="15">
      <c r="A15" s="6" t="inlineStr">
        <is>
          <t xml:space="preserve">   growth</t>
        </is>
      </c>
      <c r="B15" s="2" t="inlineStr">
        <is>
          <t>start, fading to long-run</t>
        </is>
      </c>
      <c r="C15" s="22">
        <f>Historical!$D$9/Historical!$C$9-1</f>
        <v/>
      </c>
      <c r="D15" s="22">
        <f>Historical!$E$9/Historical!$D$9-1</f>
        <v/>
      </c>
      <c r="E15" s="22">
        <f>Historical!$F$9/Historical!$E$9-1</f>
        <v/>
      </c>
      <c r="F15" s="39">
        <f>Assumptions!$D$9+(Assumptions!$D$13-Assumptions!$D$9)*(F$5-1)/4+Assumptions!$D$12</f>
        <v/>
      </c>
      <c r="G15" s="39">
        <f>Assumptions!$D$9+(Assumptions!$D$13-Assumptions!$D$9)*(G$5-1)/4+Assumptions!$D$12</f>
        <v/>
      </c>
      <c r="H15" s="39">
        <f>Assumptions!$D$9+(Assumptions!$D$13-Assumptions!$D$9)*(H$5-1)/4+Assumptions!$D$12</f>
        <v/>
      </c>
      <c r="I15" s="39">
        <f>Assumptions!$D$9+(Assumptions!$D$13-Assumptions!$D$9)*(I$5-1)/4+Assumptions!$D$12</f>
        <v/>
      </c>
      <c r="J15" s="39">
        <f>Assumptions!$D$9+(Assumptions!$D$13-Assumptions!$D$9)*(J$5-1)/4+Assumptions!$D$12</f>
        <v/>
      </c>
    </row>
    <row r="16">
      <c r="A16" s="6" t="inlineStr">
        <is>
          <t>Imaging &amp; Sensing Solutions</t>
        </is>
      </c>
      <c r="B16" s="2" t="inlineStr"/>
      <c r="C16" s="37">
        <f>Historical!$D$10</f>
        <v/>
      </c>
      <c r="D16" s="37">
        <f>Historical!$E$10</f>
        <v/>
      </c>
      <c r="E16" s="37">
        <f>Historical!$F$10</f>
        <v/>
      </c>
      <c r="F16" s="38">
        <f>E16*(1+F17)</f>
        <v/>
      </c>
      <c r="G16" s="38">
        <f>F16*(1+G17)</f>
        <v/>
      </c>
      <c r="H16" s="38">
        <f>G16*(1+H17)</f>
        <v/>
      </c>
      <c r="I16" s="38">
        <f>H16*(1+I17)</f>
        <v/>
      </c>
      <c r="J16" s="38">
        <f>I16*(1+J17)</f>
        <v/>
      </c>
    </row>
    <row r="17">
      <c r="A17" s="6" t="inlineStr">
        <is>
          <t xml:space="preserve">   growth</t>
        </is>
      </c>
      <c r="B17" s="2" t="inlineStr">
        <is>
          <t>start, fading to long-run</t>
        </is>
      </c>
      <c r="C17" s="22">
        <f>Historical!$D$10/Historical!$C$10-1</f>
        <v/>
      </c>
      <c r="D17" s="22">
        <f>Historical!$E$10/Historical!$D$10-1</f>
        <v/>
      </c>
      <c r="E17" s="22">
        <f>Historical!$F$10/Historical!$E$10-1</f>
        <v/>
      </c>
      <c r="F17" s="39">
        <f>Assumptions!$D$10+(Assumptions!$D$13-Assumptions!$D$10)*(F$5-1)/4+Assumptions!$D$12</f>
        <v/>
      </c>
      <c r="G17" s="39">
        <f>Assumptions!$D$10+(Assumptions!$D$13-Assumptions!$D$10)*(G$5-1)/4+Assumptions!$D$12</f>
        <v/>
      </c>
      <c r="H17" s="39">
        <f>Assumptions!$D$10+(Assumptions!$D$13-Assumptions!$D$10)*(H$5-1)/4+Assumptions!$D$12</f>
        <v/>
      </c>
      <c r="I17" s="39">
        <f>Assumptions!$D$10+(Assumptions!$D$13-Assumptions!$D$10)*(I$5-1)/4+Assumptions!$D$12</f>
        <v/>
      </c>
      <c r="J17" s="39">
        <f>Assumptions!$D$10+(Assumptions!$D$13-Assumptions!$D$10)*(J$5-1)/4+Assumptions!$D$12</f>
        <v/>
      </c>
    </row>
    <row r="18">
      <c r="A18" s="6" t="inlineStr">
        <is>
          <t>All Other</t>
        </is>
      </c>
      <c r="B18" s="2" t="inlineStr"/>
      <c r="C18" s="37">
        <f>Historical!$D$11</f>
        <v/>
      </c>
      <c r="D18" s="37">
        <f>Historical!$E$11</f>
        <v/>
      </c>
      <c r="E18" s="37">
        <f>Historical!$F$11</f>
        <v/>
      </c>
      <c r="F18" s="38">
        <f>E18*(1+F19)</f>
        <v/>
      </c>
      <c r="G18" s="38">
        <f>F18*(1+G19)</f>
        <v/>
      </c>
      <c r="H18" s="38">
        <f>G18*(1+H19)</f>
        <v/>
      </c>
      <c r="I18" s="38">
        <f>H18*(1+I19)</f>
        <v/>
      </c>
      <c r="J18" s="38">
        <f>I18*(1+J19)</f>
        <v/>
      </c>
    </row>
    <row r="19">
      <c r="A19" s="6" t="inlineStr">
        <is>
          <t xml:space="preserve">   growth</t>
        </is>
      </c>
      <c r="B19" s="2" t="inlineStr">
        <is>
          <t>start, fading to long-run</t>
        </is>
      </c>
      <c r="C19" s="22">
        <f>Historical!$D$11/Historical!$C$11-1</f>
        <v/>
      </c>
      <c r="D19" s="22">
        <f>Historical!$E$11/Historical!$D$11-1</f>
        <v/>
      </c>
      <c r="E19" s="22">
        <f>Historical!$F$11/Historical!$E$11-1</f>
        <v/>
      </c>
      <c r="F19" s="39">
        <f>Assumptions!$D$11+(Assumptions!$D$13-Assumptions!$D$11)*(F$5-1)/4+Assumptions!$D$12</f>
        <v/>
      </c>
      <c r="G19" s="39">
        <f>Assumptions!$D$11+(Assumptions!$D$13-Assumptions!$D$11)*(G$5-1)/4+Assumptions!$D$12</f>
        <v/>
      </c>
      <c r="H19" s="39">
        <f>Assumptions!$D$11+(Assumptions!$D$13-Assumptions!$D$11)*(H$5-1)/4+Assumptions!$D$12</f>
        <v/>
      </c>
      <c r="I19" s="39">
        <f>Assumptions!$D$11+(Assumptions!$D$13-Assumptions!$D$11)*(I$5-1)/4+Assumptions!$D$12</f>
        <v/>
      </c>
      <c r="J19" s="39">
        <f>Assumptions!$D$11+(Assumptions!$D$13-Assumptions!$D$11)*(J$5-1)/4+Assumptions!$D$12</f>
        <v/>
      </c>
    </row>
    <row r="20">
      <c r="A20" s="6" t="inlineStr">
        <is>
          <t>Segment sales</t>
        </is>
      </c>
      <c r="B20" s="2" t="inlineStr"/>
      <c r="C20" s="40">
        <f>C8+C10+C12+C14+C16+C18</f>
        <v/>
      </c>
      <c r="D20" s="40">
        <f>D8+D10+D12+D14+D16+D18</f>
        <v/>
      </c>
      <c r="E20" s="40">
        <f>E8+E10+E12+E14+E16+E18</f>
        <v/>
      </c>
      <c r="F20" s="41">
        <f>F8+F10+F12+F14+F16+F18</f>
        <v/>
      </c>
      <c r="G20" s="41">
        <f>G8+G10+G12+G14+G16+G18</f>
        <v/>
      </c>
      <c r="H20" s="41">
        <f>H8+H10+H12+H14+H16+H18</f>
        <v/>
      </c>
      <c r="I20" s="41">
        <f>I8+I10+I12+I14+I16+I18</f>
        <v/>
      </c>
      <c r="J20" s="41">
        <f>J8+J10+J12+J14+J16+J18</f>
        <v/>
      </c>
    </row>
    <row r="21">
      <c r="A21" s="6" t="inlineStr">
        <is>
          <t>Corporate and elimination</t>
        </is>
      </c>
      <c r="B21" s="2" t="inlineStr">
        <is>
          <t>% of segment sales</t>
        </is>
      </c>
      <c r="C21" s="25">
        <f>Historical!$D$14-C20</f>
        <v/>
      </c>
      <c r="D21" s="25">
        <f>Historical!$E$14-D20</f>
        <v/>
      </c>
      <c r="E21" s="25">
        <f>Historical!$F$14-E20</f>
        <v/>
      </c>
      <c r="F21" s="38">
        <f>-Assumptions!$D$14*F20</f>
        <v/>
      </c>
      <c r="G21" s="38">
        <f>-Assumptions!$D$14*G20</f>
        <v/>
      </c>
      <c r="H21" s="38">
        <f>-Assumptions!$D$14*H20</f>
        <v/>
      </c>
      <c r="I21" s="38">
        <f>-Assumptions!$D$14*I20</f>
        <v/>
      </c>
      <c r="J21" s="38">
        <f>-Assumptions!$D$14*J20</f>
        <v/>
      </c>
    </row>
    <row r="23">
      <c r="A23" s="3" t="inlineStr">
        <is>
          <t>INCOME STATEMENT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5" t="inlineStr">
        <is>
          <t>Sales</t>
        </is>
      </c>
      <c r="B24" s="2" t="inlineStr"/>
      <c r="C24" s="42">
        <f>Historical!$D$14</f>
        <v/>
      </c>
      <c r="D24" s="42">
        <f>Historical!$E$14</f>
        <v/>
      </c>
      <c r="E24" s="42">
        <f>Historical!$F$14</f>
        <v/>
      </c>
      <c r="F24" s="43">
        <f>F20+F21</f>
        <v/>
      </c>
      <c r="G24" s="43">
        <f>G20+G21</f>
        <v/>
      </c>
      <c r="H24" s="43">
        <f>H20+H21</f>
        <v/>
      </c>
      <c r="I24" s="43">
        <f>I20+I21</f>
        <v/>
      </c>
      <c r="J24" s="43">
        <f>J20+J21</f>
        <v/>
      </c>
    </row>
    <row r="25">
      <c r="A25" s="6" t="inlineStr">
        <is>
          <t xml:space="preserve">   growth</t>
        </is>
      </c>
      <c r="B25" s="2" t="inlineStr"/>
      <c r="D25" s="22">
        <f>D24/C24-1</f>
        <v/>
      </c>
      <c r="E25" s="22">
        <f>E24/D24-1</f>
        <v/>
      </c>
      <c r="F25" s="39">
        <f>F24/E24-1</f>
        <v/>
      </c>
      <c r="G25" s="39">
        <f>G24/F24-1</f>
        <v/>
      </c>
      <c r="H25" s="39">
        <f>H24/G24-1</f>
        <v/>
      </c>
      <c r="I25" s="39">
        <f>I24/H24-1</f>
        <v/>
      </c>
      <c r="J25" s="39">
        <f>J24/I24-1</f>
        <v/>
      </c>
    </row>
    <row r="26">
      <c r="A26" s="6" t="inlineStr">
        <is>
          <t>Cost of sales</t>
        </is>
      </c>
      <c r="B26" s="2" t="inlineStr">
        <is>
          <t>% of sales</t>
        </is>
      </c>
      <c r="C26" s="37">
        <f>Historical!$D$15</f>
        <v/>
      </c>
      <c r="D26" s="37">
        <f>Historical!$E$15</f>
        <v/>
      </c>
      <c r="E26" s="37">
        <f>Historical!$F$15</f>
        <v/>
      </c>
      <c r="F26" s="38">
        <f>Assumptions!$D$16*F24</f>
        <v/>
      </c>
      <c r="G26" s="38">
        <f>Assumptions!$D$16*G24</f>
        <v/>
      </c>
      <c r="H26" s="38">
        <f>Assumptions!$D$16*H24</f>
        <v/>
      </c>
      <c r="I26" s="38">
        <f>Assumptions!$D$16*I24</f>
        <v/>
      </c>
      <c r="J26" s="38">
        <f>Assumptions!$D$16*J24</f>
        <v/>
      </c>
    </row>
    <row r="27">
      <c r="A27" s="6" t="inlineStr">
        <is>
          <t>Gross profit</t>
        </is>
      </c>
      <c r="B27" s="2" t="inlineStr"/>
      <c r="C27" s="40">
        <f>C24-C26</f>
        <v/>
      </c>
      <c r="D27" s="40">
        <f>D24-D26</f>
        <v/>
      </c>
      <c r="E27" s="40">
        <f>E24-E26</f>
        <v/>
      </c>
      <c r="F27" s="41">
        <f>F24-F26</f>
        <v/>
      </c>
      <c r="G27" s="41">
        <f>G24-G26</f>
        <v/>
      </c>
      <c r="H27" s="41">
        <f>H24-H26</f>
        <v/>
      </c>
      <c r="I27" s="41">
        <f>I24-I26</f>
        <v/>
      </c>
      <c r="J27" s="41">
        <f>J24-J26</f>
        <v/>
      </c>
    </row>
    <row r="28">
      <c r="A28" s="6" t="inlineStr">
        <is>
          <t>Selling, general and administrative</t>
        </is>
      </c>
      <c r="B28" s="2" t="inlineStr">
        <is>
          <t>% of sales</t>
        </is>
      </c>
      <c r="C28" s="37">
        <f>Historical!$D$16</f>
        <v/>
      </c>
      <c r="D28" s="37">
        <f>Historical!$E$16</f>
        <v/>
      </c>
      <c r="E28" s="37">
        <f>Historical!$F$16</f>
        <v/>
      </c>
      <c r="F28" s="38">
        <f>Assumptions!$D$17*F24</f>
        <v/>
      </c>
      <c r="G28" s="38">
        <f>Assumptions!$D$17*G24</f>
        <v/>
      </c>
      <c r="H28" s="38">
        <f>Assumptions!$D$17*H24</f>
        <v/>
      </c>
      <c r="I28" s="38">
        <f>Assumptions!$D$17*I24</f>
        <v/>
      </c>
      <c r="J28" s="38">
        <f>Assumptions!$D$17*J24</f>
        <v/>
      </c>
    </row>
    <row r="29">
      <c r="A29" s="6" t="inlineStr">
        <is>
          <t>Other operating (income) expense, net</t>
        </is>
      </c>
      <c r="B29" s="2" t="inlineStr">
        <is>
          <t>assumed nil</t>
        </is>
      </c>
      <c r="C29" s="37">
        <f>Historical!$D$17</f>
        <v/>
      </c>
      <c r="D29" s="37">
        <f>Historical!$E$17</f>
        <v/>
      </c>
      <c r="E29" s="37">
        <f>Historical!$F$17</f>
        <v/>
      </c>
      <c r="F29" s="38">
        <f>0</f>
        <v/>
      </c>
      <c r="G29" s="38">
        <f>0</f>
        <v/>
      </c>
      <c r="H29" s="38">
        <f>0</f>
        <v/>
      </c>
      <c r="I29" s="38">
        <f>0</f>
        <v/>
      </c>
      <c r="J29" s="38">
        <f>0</f>
        <v/>
      </c>
    </row>
    <row r="30">
      <c r="A30" s="6" t="inlineStr">
        <is>
          <t>Share of profit (loss) of equity-method investments</t>
        </is>
      </c>
      <c r="B30" s="2" t="inlineStr">
        <is>
          <t>assumed nil</t>
        </is>
      </c>
      <c r="C30" s="37">
        <f>Historical!$D$18</f>
        <v/>
      </c>
      <c r="D30" s="37">
        <f>Historical!$E$18</f>
        <v/>
      </c>
      <c r="E30" s="37">
        <f>Historical!$F$18</f>
        <v/>
      </c>
      <c r="F30" s="38">
        <f>0</f>
        <v/>
      </c>
      <c r="G30" s="38">
        <f>0</f>
        <v/>
      </c>
      <c r="H30" s="38">
        <f>0</f>
        <v/>
      </c>
      <c r="I30" s="38">
        <f>0</f>
        <v/>
      </c>
      <c r="J30" s="38">
        <f>0</f>
        <v/>
      </c>
    </row>
    <row r="31">
      <c r="A31" s="5" t="inlineStr">
        <is>
          <t>Operating income</t>
        </is>
      </c>
      <c r="B31" s="2" t="inlineStr"/>
      <c r="C31" s="44">
        <f>C27-C28-C29+C30</f>
        <v/>
      </c>
      <c r="D31" s="44">
        <f>D27-D28-D29+D30</f>
        <v/>
      </c>
      <c r="E31" s="44">
        <f>E27-E28-E29+E30</f>
        <v/>
      </c>
      <c r="F31" s="45">
        <f>F27-F28-F29+F30</f>
        <v/>
      </c>
      <c r="G31" s="45">
        <f>G27-G28-G29+G30</f>
        <v/>
      </c>
      <c r="H31" s="45">
        <f>H27-H28-H29+H30</f>
        <v/>
      </c>
      <c r="I31" s="45">
        <f>I27-I28-I29+I30</f>
        <v/>
      </c>
      <c r="J31" s="45">
        <f>J27-J28-J29+J30</f>
        <v/>
      </c>
    </row>
    <row r="32">
      <c r="A32" s="6" t="inlineStr">
        <is>
          <t xml:space="preserve">   operating margin</t>
        </is>
      </c>
      <c r="B32" s="2" t="inlineStr"/>
      <c r="C32" s="22">
        <f>C31/C24</f>
        <v/>
      </c>
      <c r="D32" s="22">
        <f>D31/D24</f>
        <v/>
      </c>
      <c r="E32" s="22">
        <f>E31/E24</f>
        <v/>
      </c>
      <c r="F32" s="39">
        <f>F31/F24</f>
        <v/>
      </c>
      <c r="G32" s="39">
        <f>G31/G24</f>
        <v/>
      </c>
      <c r="H32" s="39">
        <f>H31/H24</f>
        <v/>
      </c>
      <c r="I32" s="39">
        <f>I31/I24</f>
        <v/>
      </c>
      <c r="J32" s="39">
        <f>J31/J24</f>
        <v/>
      </c>
    </row>
    <row r="33">
      <c r="A33" s="6" t="inlineStr">
        <is>
          <t>Financial income</t>
        </is>
      </c>
      <c r="B33" s="2" t="inlineStr">
        <is>
          <t>% of opening cash</t>
        </is>
      </c>
      <c r="C33" s="37">
        <f>Historical!$D$20</f>
        <v/>
      </c>
      <c r="D33" s="37">
        <f>Historical!$E$20</f>
        <v/>
      </c>
      <c r="E33" s="37">
        <f>Historical!$F$20</f>
        <v/>
      </c>
      <c r="F33" s="38">
        <f>Assumptions!$D$29*E42</f>
        <v/>
      </c>
      <c r="G33" s="38">
        <f>Assumptions!$D$29*F42</f>
        <v/>
      </c>
      <c r="H33" s="38">
        <f>Assumptions!$D$29*G42</f>
        <v/>
      </c>
      <c r="I33" s="38">
        <f>Assumptions!$D$29*H42</f>
        <v/>
      </c>
      <c r="J33" s="38">
        <f>Assumptions!$D$29*I42</f>
        <v/>
      </c>
    </row>
    <row r="34">
      <c r="A34" s="6" t="inlineStr">
        <is>
          <t>Financial expenses</t>
        </is>
      </c>
      <c r="B34" s="2" t="inlineStr">
        <is>
          <t>% of opening debt</t>
        </is>
      </c>
      <c r="C34" s="37">
        <f>Historical!$D$21</f>
        <v/>
      </c>
      <c r="D34" s="37">
        <f>Historical!$E$21</f>
        <v/>
      </c>
      <c r="E34" s="37">
        <f>Historical!$F$21</f>
        <v/>
      </c>
      <c r="F34" s="38">
        <f>Assumptions!$D$30*(E53+E54)</f>
        <v/>
      </c>
      <c r="G34" s="38">
        <f>Assumptions!$D$30*(F53+F54)</f>
        <v/>
      </c>
      <c r="H34" s="38">
        <f>Assumptions!$D$30*(G53+G54)</f>
        <v/>
      </c>
      <c r="I34" s="38">
        <f>Assumptions!$D$30*(H53+H54)</f>
        <v/>
      </c>
      <c r="J34" s="38">
        <f>Assumptions!$D$30*(I53+I54)</f>
        <v/>
      </c>
    </row>
    <row r="35">
      <c r="A35" s="6" t="inlineStr">
        <is>
          <t>Income before income taxes</t>
        </is>
      </c>
      <c r="B35" s="2" t="inlineStr"/>
      <c r="C35" s="40">
        <f>C31+C33-C34</f>
        <v/>
      </c>
      <c r="D35" s="40">
        <f>D31+D33-D34</f>
        <v/>
      </c>
      <c r="E35" s="40">
        <f>E31+E33-E34</f>
        <v/>
      </c>
      <c r="F35" s="41">
        <f>F31+F33-F34</f>
        <v/>
      </c>
      <c r="G35" s="41">
        <f>G31+G33-G34</f>
        <v/>
      </c>
      <c r="H35" s="41">
        <f>H31+H33-H34</f>
        <v/>
      </c>
      <c r="I35" s="41">
        <f>I31+I33-I34</f>
        <v/>
      </c>
      <c r="J35" s="41">
        <f>J31+J33-J34</f>
        <v/>
      </c>
    </row>
    <row r="36">
      <c r="A36" s="6" t="inlineStr">
        <is>
          <t>Income taxes</t>
        </is>
      </c>
      <c r="B36" s="2" t="inlineStr">
        <is>
          <t>% of pre-tax income</t>
        </is>
      </c>
      <c r="C36" s="37">
        <f>Historical!$D$23</f>
        <v/>
      </c>
      <c r="D36" s="37">
        <f>Historical!$E$23</f>
        <v/>
      </c>
      <c r="E36" s="37">
        <f>Historical!$F$23</f>
        <v/>
      </c>
      <c r="F36" s="38">
        <f>Assumptions!$D$21*F35</f>
        <v/>
      </c>
      <c r="G36" s="38">
        <f>Assumptions!$D$21*G35</f>
        <v/>
      </c>
      <c r="H36" s="38">
        <f>Assumptions!$D$21*H35</f>
        <v/>
      </c>
      <c r="I36" s="38">
        <f>Assumptions!$D$21*I35</f>
        <v/>
      </c>
      <c r="J36" s="38">
        <f>Assumptions!$D$21*J35</f>
        <v/>
      </c>
    </row>
    <row r="37">
      <c r="A37" s="5" t="inlineStr">
        <is>
          <t>Net income from continuing operations</t>
        </is>
      </c>
      <c r="B37" s="2" t="inlineStr"/>
      <c r="C37" s="44">
        <f>C35-C36</f>
        <v/>
      </c>
      <c r="D37" s="44">
        <f>D35-D36</f>
        <v/>
      </c>
      <c r="E37" s="44">
        <f>E35-E36</f>
        <v/>
      </c>
      <c r="F37" s="45">
        <f>F35-F36</f>
        <v/>
      </c>
      <c r="G37" s="45">
        <f>G35-G36</f>
        <v/>
      </c>
      <c r="H37" s="45">
        <f>H35-H36</f>
        <v/>
      </c>
      <c r="I37" s="45">
        <f>I35-I36</f>
        <v/>
      </c>
      <c r="J37" s="45">
        <f>J35-J36</f>
        <v/>
      </c>
    </row>
    <row r="38">
      <c r="A38" s="6" t="inlineStr">
        <is>
          <t>Depreciation and amortization (memo)</t>
        </is>
      </c>
      <c r="B38" s="2" t="inlineStr">
        <is>
          <t>% of sales</t>
        </is>
      </c>
      <c r="C38" s="37">
        <f>Historical!$D$27</f>
        <v/>
      </c>
      <c r="D38" s="37">
        <f>Historical!$E$27</f>
        <v/>
      </c>
      <c r="E38" s="37">
        <f>Historical!$F$27</f>
        <v/>
      </c>
      <c r="F38" s="38">
        <f>Assumptions!$D$18*F24</f>
        <v/>
      </c>
      <c r="G38" s="38">
        <f>Assumptions!$D$18*G24</f>
        <v/>
      </c>
      <c r="H38" s="38">
        <f>Assumptions!$D$18*H24</f>
        <v/>
      </c>
      <c r="I38" s="38">
        <f>Assumptions!$D$18*I24</f>
        <v/>
      </c>
      <c r="J38" s="38">
        <f>Assumptions!$D$18*J24</f>
        <v/>
      </c>
    </row>
    <row r="39">
      <c r="A39" s="6" t="inlineStr">
        <is>
          <t>EBITDA</t>
        </is>
      </c>
      <c r="B39" s="2" t="inlineStr"/>
      <c r="C39" s="25">
        <f>C31+C38</f>
        <v/>
      </c>
      <c r="D39" s="25">
        <f>D31+D38</f>
        <v/>
      </c>
      <c r="E39" s="25">
        <f>E31+E38</f>
        <v/>
      </c>
      <c r="F39" s="38">
        <f>F31+F38</f>
        <v/>
      </c>
      <c r="G39" s="38">
        <f>G31+G38</f>
        <v/>
      </c>
      <c r="H39" s="38">
        <f>H31+H38</f>
        <v/>
      </c>
      <c r="I39" s="38">
        <f>I31+I38</f>
        <v/>
      </c>
      <c r="J39" s="38">
        <f>J31+J38</f>
        <v/>
      </c>
    </row>
    <row r="41">
      <c r="A41" s="3" t="inlineStr">
        <is>
          <t>BALANCE SHEET (March 31 following the fiscal year)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6" t="inlineStr">
        <is>
          <t>Cash and cash equivalents</t>
        </is>
      </c>
      <c r="B42" s="2" t="inlineStr">
        <is>
          <t>from cash flow</t>
        </is>
      </c>
      <c r="D42" s="37">
        <f>Historical!$E$30</f>
        <v/>
      </c>
      <c r="E42" s="37">
        <f>Historical!$F$30</f>
        <v/>
      </c>
      <c r="F42" s="38">
        <f>F78</f>
        <v/>
      </c>
      <c r="G42" s="38">
        <f>G78</f>
        <v/>
      </c>
      <c r="H42" s="38">
        <f>H78</f>
        <v/>
      </c>
      <c r="I42" s="38">
        <f>I78</f>
        <v/>
      </c>
      <c r="J42" s="38">
        <f>J78</f>
        <v/>
      </c>
    </row>
    <row r="43">
      <c r="A43" s="6" t="inlineStr">
        <is>
          <t>Trade and other receivables</t>
        </is>
      </c>
      <c r="B43" s="2" t="inlineStr">
        <is>
          <t>days of sales</t>
        </is>
      </c>
      <c r="D43" s="37">
        <f>Historical!$E$32</f>
        <v/>
      </c>
      <c r="E43" s="37">
        <f>Historical!$F$32</f>
        <v/>
      </c>
      <c r="F43" s="38">
        <f>Assumptions!$D$23/365*F24</f>
        <v/>
      </c>
      <c r="G43" s="38">
        <f>Assumptions!$D$23/365*G24</f>
        <v/>
      </c>
      <c r="H43" s="38">
        <f>Assumptions!$D$23/365*H24</f>
        <v/>
      </c>
      <c r="I43" s="38">
        <f>Assumptions!$D$23/365*I24</f>
        <v/>
      </c>
      <c r="J43" s="38">
        <f>Assumptions!$D$23/365*J24</f>
        <v/>
      </c>
    </row>
    <row r="44">
      <c r="A44" s="6" t="inlineStr">
        <is>
          <t>Inventories</t>
        </is>
      </c>
      <c r="B44" s="2" t="inlineStr">
        <is>
          <t>days of cost of sales</t>
        </is>
      </c>
      <c r="D44" s="37">
        <f>Historical!$E$33</f>
        <v/>
      </c>
      <c r="E44" s="37">
        <f>Historical!$F$33</f>
        <v/>
      </c>
      <c r="F44" s="38">
        <f>Assumptions!$D$24/365*F26</f>
        <v/>
      </c>
      <c r="G44" s="38">
        <f>Assumptions!$D$24/365*G26</f>
        <v/>
      </c>
      <c r="H44" s="38">
        <f>Assumptions!$D$24/365*H26</f>
        <v/>
      </c>
      <c r="I44" s="38">
        <f>Assumptions!$D$24/365*I26</f>
        <v/>
      </c>
      <c r="J44" s="38">
        <f>Assumptions!$D$24/365*J26</f>
        <v/>
      </c>
    </row>
    <row r="45">
      <c r="A45" s="6" t="inlineStr">
        <is>
          <t>Other current assets</t>
        </is>
      </c>
      <c r="B45" s="2" t="inlineStr">
        <is>
          <t>% of sales</t>
        </is>
      </c>
      <c r="D45" s="25">
        <f>Historical!$E$34+Historical!$E$35</f>
        <v/>
      </c>
      <c r="E45" s="25">
        <f>Historical!$F$34+Historical!$F$35</f>
        <v/>
      </c>
      <c r="F45" s="38">
        <f>Assumptions!$D$26*F24</f>
        <v/>
      </c>
      <c r="G45" s="38">
        <f>Assumptions!$D$26*G24</f>
        <v/>
      </c>
      <c r="H45" s="38">
        <f>Assumptions!$D$26*H24</f>
        <v/>
      </c>
      <c r="I45" s="38">
        <f>Assumptions!$D$26*I24</f>
        <v/>
      </c>
      <c r="J45" s="38">
        <f>Assumptions!$D$26*J24</f>
        <v/>
      </c>
    </row>
    <row r="46">
      <c r="A46" s="6" t="inlineStr">
        <is>
          <t>Financial Services assets (discontinued)</t>
        </is>
      </c>
      <c r="B46" s="2" t="inlineStr">
        <is>
          <t>spun off</t>
        </is>
      </c>
      <c r="D46" s="25">
        <f>Historical!$E$31+Historical!$E$38</f>
        <v/>
      </c>
      <c r="E46" s="25">
        <f>Historical!$F$31+Historical!$F$38</f>
        <v/>
      </c>
      <c r="F46" s="38">
        <f>0</f>
        <v/>
      </c>
      <c r="G46" s="38">
        <f>0</f>
        <v/>
      </c>
      <c r="H46" s="38">
        <f>0</f>
        <v/>
      </c>
      <c r="I46" s="38">
        <f>0</f>
        <v/>
      </c>
      <c r="J46" s="38">
        <f>0</f>
        <v/>
      </c>
    </row>
    <row r="47">
      <c r="A47" s="6" t="inlineStr">
        <is>
          <t>Operating long-term assets (PP&amp;E, right-of-use, content, intangibles)</t>
        </is>
      </c>
      <c r="B47" s="2" t="inlineStr">
        <is>
          <t>prior + investment - D&amp;A</t>
        </is>
      </c>
      <c r="D47" s="25">
        <f>Historical!$E$39+Historical!$E$40+Historical!$E$42+Historical!$E$43</f>
        <v/>
      </c>
      <c r="E47" s="25">
        <f>Historical!$F$39+Historical!$F$40+Historical!$F$42+Historical!$F$43</f>
        <v/>
      </c>
      <c r="F47" s="38">
        <f>E47-F72-F65-F38</f>
        <v/>
      </c>
      <c r="G47" s="38">
        <f>F47-G72-G65-G38</f>
        <v/>
      </c>
      <c r="H47" s="38">
        <f>G47-H72-H65-H38</f>
        <v/>
      </c>
      <c r="I47" s="38">
        <f>H47-I72-I65-I38</f>
        <v/>
      </c>
      <c r="J47" s="38">
        <f>I47-J72-J65-J38</f>
        <v/>
      </c>
    </row>
    <row r="48">
      <c r="A48" s="6" t="inlineStr">
        <is>
          <t>Goodwill</t>
        </is>
      </c>
      <c r="B48" s="2" t="inlineStr">
        <is>
          <t>held flat</t>
        </is>
      </c>
      <c r="D48" s="37">
        <f>Historical!$E$41</f>
        <v/>
      </c>
      <c r="E48" s="37">
        <f>Historical!$F$41</f>
        <v/>
      </c>
      <c r="F48" s="38">
        <f>E48</f>
        <v/>
      </c>
      <c r="G48" s="38">
        <f>F48</f>
        <v/>
      </c>
      <c r="H48" s="38">
        <f>G48</f>
        <v/>
      </c>
      <c r="I48" s="38">
        <f>H48</f>
        <v/>
      </c>
      <c r="J48" s="38">
        <f>I48</f>
        <v/>
      </c>
    </row>
    <row r="49">
      <c r="A49" s="6" t="inlineStr">
        <is>
          <t>Other non-current assets (investments, deferred tax, other)</t>
        </is>
      </c>
      <c r="B49" s="2" t="inlineStr">
        <is>
          <t>held flat</t>
        </is>
      </c>
      <c r="D49" s="25">
        <f>Historical!$E$37+Historical!$E$44+Historical!$E$45+Historical!$E$46</f>
        <v/>
      </c>
      <c r="E49" s="25">
        <f>Historical!$F$37+Historical!$F$44+Historical!$F$45+Historical!$F$46</f>
        <v/>
      </c>
      <c r="F49" s="38">
        <f>E49</f>
        <v/>
      </c>
      <c r="G49" s="38">
        <f>F49</f>
        <v/>
      </c>
      <c r="H49" s="38">
        <f>G49</f>
        <v/>
      </c>
      <c r="I49" s="38">
        <f>H49</f>
        <v/>
      </c>
      <c r="J49" s="38">
        <f>I49</f>
        <v/>
      </c>
    </row>
    <row r="50">
      <c r="A50" s="5" t="inlineStr">
        <is>
          <t>Total assets</t>
        </is>
      </c>
      <c r="B50" s="2" t="inlineStr"/>
      <c r="D50" s="44">
        <f>D42+D43+D44+D45+D46+D47+D48+D49</f>
        <v/>
      </c>
      <c r="E50" s="44">
        <f>E42+E43+E44+E45+E46+E47+E48+E49</f>
        <v/>
      </c>
      <c r="F50" s="45">
        <f>F42+F43+F44+F45+F46+F47+F48+F49</f>
        <v/>
      </c>
      <c r="G50" s="45">
        <f>G42+G43+G44+G45+G46+G47+G48+G49</f>
        <v/>
      </c>
      <c r="H50" s="45">
        <f>H42+H43+H44+H45+H46+H47+H48+H49</f>
        <v/>
      </c>
      <c r="I50" s="45">
        <f>I42+I43+I44+I45+I46+I47+I48+I49</f>
        <v/>
      </c>
      <c r="J50" s="45">
        <f>J42+J43+J44+J45+J46+J47+J48+J49</f>
        <v/>
      </c>
    </row>
    <row r="51">
      <c r="A51" s="6" t="inlineStr">
        <is>
          <t>Trade and other payables</t>
        </is>
      </c>
      <c r="B51" s="2" t="inlineStr">
        <is>
          <t>days of cost of sales</t>
        </is>
      </c>
      <c r="D51" s="37">
        <f>Historical!$E$52</f>
        <v/>
      </c>
      <c r="E51" s="37">
        <f>Historical!$F$52</f>
        <v/>
      </c>
      <c r="F51" s="38">
        <f>Assumptions!$D$25/365*F26</f>
        <v/>
      </c>
      <c r="G51" s="38">
        <f>Assumptions!$D$25/365*G26</f>
        <v/>
      </c>
      <c r="H51" s="38">
        <f>Assumptions!$D$25/365*H26</f>
        <v/>
      </c>
      <c r="I51" s="38">
        <f>Assumptions!$D$25/365*I26</f>
        <v/>
      </c>
      <c r="J51" s="38">
        <f>Assumptions!$D$25/365*J26</f>
        <v/>
      </c>
    </row>
    <row r="52">
      <c r="A52" s="6" t="inlineStr">
        <is>
          <t>Other current liabilities</t>
        </is>
      </c>
      <c r="B52" s="2" t="inlineStr">
        <is>
          <t>% of sales</t>
        </is>
      </c>
      <c r="D52" s="25">
        <f>Historical!$E$54+Historical!$E$55+Historical!$E$56+Historical!$E$57+Historical!$E$58</f>
        <v/>
      </c>
      <c r="E52" s="25">
        <f>Historical!$F$54+Historical!$F$55+Historical!$F$56+Historical!$F$57+Historical!$F$58</f>
        <v/>
      </c>
      <c r="F52" s="38">
        <f>Assumptions!$D$27*F24</f>
        <v/>
      </c>
      <c r="G52" s="38">
        <f>Assumptions!$D$27*G24</f>
        <v/>
      </c>
      <c r="H52" s="38">
        <f>Assumptions!$D$27*H24</f>
        <v/>
      </c>
      <c r="I52" s="38">
        <f>Assumptions!$D$27*I24</f>
        <v/>
      </c>
      <c r="J52" s="38">
        <f>Assumptions!$D$27*J24</f>
        <v/>
      </c>
    </row>
    <row r="53">
      <c r="A53" s="6" t="inlineStr">
        <is>
          <t>Borrowings</t>
        </is>
      </c>
      <c r="B53" s="2" t="inlineStr">
        <is>
          <t>prior + net new borrowing</t>
        </is>
      </c>
      <c r="D53" s="25">
        <f>Historical!$E$49+Historical!$E$51+Historical!$E$60</f>
        <v/>
      </c>
      <c r="E53" s="25">
        <f>Historical!$F$49+Historical!$F$51+Historical!$F$60</f>
        <v/>
      </c>
      <c r="F53" s="38">
        <f>E53+Assumptions!$D$33</f>
        <v/>
      </c>
      <c r="G53" s="38">
        <f>F53+Assumptions!$D$33</f>
        <v/>
      </c>
      <c r="H53" s="38">
        <f>G53+Assumptions!$D$33</f>
        <v/>
      </c>
      <c r="I53" s="38">
        <f>H53+Assumptions!$D$33</f>
        <v/>
      </c>
      <c r="J53" s="38">
        <f>I53+Assumptions!$D$33</f>
        <v/>
      </c>
    </row>
    <row r="54">
      <c r="A54" s="6" t="inlineStr">
        <is>
          <t>Lease liabilities</t>
        </is>
      </c>
      <c r="B54" s="2" t="inlineStr">
        <is>
          <t>held flat</t>
        </is>
      </c>
      <c r="D54" s="25">
        <f>Historical!$E$50+Historical!$E$61</f>
        <v/>
      </c>
      <c r="E54" s="25">
        <f>Historical!$F$50+Historical!$F$61</f>
        <v/>
      </c>
      <c r="F54" s="38">
        <f>E54</f>
        <v/>
      </c>
      <c r="G54" s="38">
        <f>F54</f>
        <v/>
      </c>
      <c r="H54" s="38">
        <f>G54</f>
        <v/>
      </c>
      <c r="I54" s="38">
        <f>H54</f>
        <v/>
      </c>
      <c r="J54" s="38">
        <f>I54</f>
        <v/>
      </c>
    </row>
    <row r="55">
      <c r="A55" s="6" t="inlineStr">
        <is>
          <t>Financial Services liabilities (discontinued)</t>
        </is>
      </c>
      <c r="B55" s="2" t="inlineStr">
        <is>
          <t>spun off</t>
        </is>
      </c>
      <c r="D55" s="25">
        <f>Historical!$E$53+Historical!$E$64</f>
        <v/>
      </c>
      <c r="E55" s="25">
        <f>Historical!$F$53+Historical!$F$64</f>
        <v/>
      </c>
      <c r="F55" s="38">
        <f>0</f>
        <v/>
      </c>
      <c r="G55" s="38">
        <f>0</f>
        <v/>
      </c>
      <c r="H55" s="38">
        <f>0</f>
        <v/>
      </c>
      <c r="I55" s="38">
        <f>0</f>
        <v/>
      </c>
      <c r="J55" s="38">
        <f>0</f>
        <v/>
      </c>
    </row>
    <row r="56">
      <c r="A56" s="6" t="inlineStr">
        <is>
          <t>Other non-current liabilities</t>
        </is>
      </c>
      <c r="B56" s="2" t="inlineStr">
        <is>
          <t>held flat</t>
        </is>
      </c>
      <c r="D56" s="25">
        <f>Historical!$E$62+Historical!$E$63+Historical!$E$65+Historical!$E$66+Historical!$E$67</f>
        <v/>
      </c>
      <c r="E56" s="25">
        <f>Historical!$F$62+Historical!$F$63+Historical!$F$65+Historical!$F$66+Historical!$F$67</f>
        <v/>
      </c>
      <c r="F56" s="38">
        <f>E56</f>
        <v/>
      </c>
      <c r="G56" s="38">
        <f>F56</f>
        <v/>
      </c>
      <c r="H56" s="38">
        <f>G56</f>
        <v/>
      </c>
      <c r="I56" s="38">
        <f>H56</f>
        <v/>
      </c>
      <c r="J56" s="38">
        <f>I56</f>
        <v/>
      </c>
    </row>
    <row r="57">
      <c r="A57" s="6" t="inlineStr">
        <is>
          <t>Total liabilities</t>
        </is>
      </c>
      <c r="B57" s="2" t="inlineStr"/>
      <c r="D57" s="40">
        <f>D51+D52+D53+D54+D55+D56</f>
        <v/>
      </c>
      <c r="E57" s="40">
        <f>E51+E52+E53+E54+E55+E56</f>
        <v/>
      </c>
      <c r="F57" s="41">
        <f>F51+F52+F53+F54+F55+F56</f>
        <v/>
      </c>
      <c r="G57" s="41">
        <f>G51+G52+G53+G54+G55+G56</f>
        <v/>
      </c>
      <c r="H57" s="41">
        <f>H51+H52+H53+H54+H55+H56</f>
        <v/>
      </c>
      <c r="I57" s="41">
        <f>I51+I52+I53+I54+I55+I56</f>
        <v/>
      </c>
      <c r="J57" s="41">
        <f>J51+J52+J53+J54+J55+J56</f>
        <v/>
      </c>
    </row>
    <row r="58">
      <c r="A58" s="6" t="inlineStr">
        <is>
          <t>Total equity</t>
        </is>
      </c>
      <c r="B58" s="2" t="inlineStr">
        <is>
          <t>prior + income - payouts</t>
        </is>
      </c>
      <c r="D58" s="37">
        <f>Historical!$E$72</f>
        <v/>
      </c>
      <c r="E58" s="37">
        <f>Historical!$F$72</f>
        <v/>
      </c>
      <c r="F58" s="38">
        <f>E58+F37+F74+F75</f>
        <v/>
      </c>
      <c r="G58" s="38">
        <f>F58+G37+G74+G75</f>
        <v/>
      </c>
      <c r="H58" s="38">
        <f>G58+H37+H74+H75</f>
        <v/>
      </c>
      <c r="I58" s="38">
        <f>H58+I37+I74+I75</f>
        <v/>
      </c>
      <c r="J58" s="38">
        <f>I58+J37+J74+J75</f>
        <v/>
      </c>
    </row>
    <row r="59">
      <c r="A59" s="5" t="inlineStr">
        <is>
          <t>Total liabilities and equity</t>
        </is>
      </c>
      <c r="B59" s="2" t="inlineStr"/>
      <c r="D59" s="44">
        <f>D57+D58</f>
        <v/>
      </c>
      <c r="E59" s="44">
        <f>E57+E58</f>
        <v/>
      </c>
      <c r="F59" s="45">
        <f>F57+F58</f>
        <v/>
      </c>
      <c r="G59" s="45">
        <f>G57+G58</f>
        <v/>
      </c>
      <c r="H59" s="45">
        <f>H57+H58</f>
        <v/>
      </c>
      <c r="I59" s="45">
        <f>I57+I58</f>
        <v/>
      </c>
      <c r="J59" s="45">
        <f>J57+J58</f>
        <v/>
      </c>
    </row>
    <row r="60">
      <c r="A60" s="6" t="inlineStr">
        <is>
          <t>Balance check (assets less liabilities and equity; must be zero)</t>
        </is>
      </c>
      <c r="B60" s="2" t="inlineStr"/>
      <c r="D60" s="25">
        <f>D50-D59</f>
        <v/>
      </c>
      <c r="E60" s="25">
        <f>E50-E59</f>
        <v/>
      </c>
      <c r="F60" s="38">
        <f>ROUND(F50-F59,0)</f>
        <v/>
      </c>
      <c r="G60" s="38">
        <f>ROUND(G50-G59,0)</f>
        <v/>
      </c>
      <c r="H60" s="38">
        <f>ROUND(H50-H59,0)</f>
        <v/>
      </c>
      <c r="I60" s="38">
        <f>ROUND(I50-I59,0)</f>
        <v/>
      </c>
      <c r="J60" s="38">
        <f>ROUND(J50-J59,0)</f>
        <v/>
      </c>
    </row>
    <row r="62">
      <c r="A62" s="3" t="inlineStr">
        <is>
          <t>CASH FLOW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6" t="inlineStr">
        <is>
          <t>Net income from continuing operations</t>
        </is>
      </c>
      <c r="B63" s="2" t="inlineStr"/>
      <c r="F63" s="38">
        <f>F37</f>
        <v/>
      </c>
      <c r="G63" s="38">
        <f>G37</f>
        <v/>
      </c>
      <c r="H63" s="38">
        <f>H37</f>
        <v/>
      </c>
      <c r="I63" s="38">
        <f>I37</f>
        <v/>
      </c>
      <c r="J63" s="38">
        <f>J37</f>
        <v/>
      </c>
    </row>
    <row r="64">
      <c r="A64" s="6" t="inlineStr">
        <is>
          <t>Depreciation and amortization</t>
        </is>
      </c>
      <c r="B64" s="2" t="inlineStr"/>
      <c r="F64" s="38">
        <f>F38</f>
        <v/>
      </c>
      <c r="G64" s="38">
        <f>G38</f>
        <v/>
      </c>
      <c r="H64" s="38">
        <f>H38</f>
        <v/>
      </c>
      <c r="I64" s="38">
        <f>I38</f>
        <v/>
      </c>
      <c r="J64" s="38">
        <f>J38</f>
        <v/>
      </c>
    </row>
    <row r="65">
      <c r="A65" s="6" t="inlineStr">
        <is>
          <t>Investment in content assets</t>
        </is>
      </c>
      <c r="B65" s="2" t="inlineStr">
        <is>
          <t>% of sales</t>
        </is>
      </c>
      <c r="C65" s="37">
        <f>Historical!$D$77</f>
        <v/>
      </c>
      <c r="D65" s="37">
        <f>Historical!$E$77</f>
        <v/>
      </c>
      <c r="E65" s="37">
        <f>Historical!$F$77</f>
        <v/>
      </c>
      <c r="F65" s="38">
        <f>-Assumptions!$D$20*F24</f>
        <v/>
      </c>
      <c r="G65" s="38">
        <f>-Assumptions!$D$20*G24</f>
        <v/>
      </c>
      <c r="H65" s="38">
        <f>-Assumptions!$D$20*H24</f>
        <v/>
      </c>
      <c r="I65" s="38">
        <f>-Assumptions!$D$20*I24</f>
        <v/>
      </c>
      <c r="J65" s="38">
        <f>-Assumptions!$D$20*J24</f>
        <v/>
      </c>
    </row>
    <row r="66">
      <c r="A66" s="6" t="inlineStr">
        <is>
          <t>(Increase) decrease in receivables</t>
        </is>
      </c>
      <c r="B66" s="2" t="inlineStr"/>
      <c r="F66" s="38">
        <f>E43-F43</f>
        <v/>
      </c>
      <c r="G66" s="38">
        <f>F43-G43</f>
        <v/>
      </c>
      <c r="H66" s="38">
        <f>G43-H43</f>
        <v/>
      </c>
      <c r="I66" s="38">
        <f>H43-I43</f>
        <v/>
      </c>
      <c r="J66" s="38">
        <f>I43-J43</f>
        <v/>
      </c>
    </row>
    <row r="67">
      <c r="A67" s="6" t="inlineStr">
        <is>
          <t>(Increase) decrease in inventories</t>
        </is>
      </c>
      <c r="B67" s="2" t="inlineStr"/>
      <c r="F67" s="38">
        <f>E44-F44</f>
        <v/>
      </c>
      <c r="G67" s="38">
        <f>F44-G44</f>
        <v/>
      </c>
      <c r="H67" s="38">
        <f>G44-H44</f>
        <v/>
      </c>
      <c r="I67" s="38">
        <f>H44-I44</f>
        <v/>
      </c>
      <c r="J67" s="38">
        <f>I44-J44</f>
        <v/>
      </c>
    </row>
    <row r="68">
      <c r="A68" s="6" t="inlineStr">
        <is>
          <t>(Increase) decrease in other current assets</t>
        </is>
      </c>
      <c r="B68" s="2" t="inlineStr"/>
      <c r="F68" s="38">
        <f>E45-F45</f>
        <v/>
      </c>
      <c r="G68" s="38">
        <f>F45-G45</f>
        <v/>
      </c>
      <c r="H68" s="38">
        <f>G45-H45</f>
        <v/>
      </c>
      <c r="I68" s="38">
        <f>H45-I45</f>
        <v/>
      </c>
      <c r="J68" s="38">
        <f>I45-J45</f>
        <v/>
      </c>
    </row>
    <row r="69">
      <c r="A69" s="6" t="inlineStr">
        <is>
          <t>Increase (decrease) in payables</t>
        </is>
      </c>
      <c r="B69" s="2" t="inlineStr"/>
      <c r="F69" s="38">
        <f>F51-E51</f>
        <v/>
      </c>
      <c r="G69" s="38">
        <f>G51-F51</f>
        <v/>
      </c>
      <c r="H69" s="38">
        <f>H51-G51</f>
        <v/>
      </c>
      <c r="I69" s="38">
        <f>I51-H51</f>
        <v/>
      </c>
      <c r="J69" s="38">
        <f>J51-I51</f>
        <v/>
      </c>
    </row>
    <row r="70">
      <c r="A70" s="6" t="inlineStr">
        <is>
          <t>Increase (decrease) in other current liabilities</t>
        </is>
      </c>
      <c r="B70" s="2" t="inlineStr"/>
      <c r="F70" s="38">
        <f>F52-E52</f>
        <v/>
      </c>
      <c r="G70" s="38">
        <f>G52-F52</f>
        <v/>
      </c>
      <c r="H70" s="38">
        <f>H52-G52</f>
        <v/>
      </c>
      <c r="I70" s="38">
        <f>I52-H52</f>
        <v/>
      </c>
      <c r="J70" s="38">
        <f>J52-I52</f>
        <v/>
      </c>
    </row>
    <row r="71">
      <c r="A71" s="5" t="inlineStr">
        <is>
          <t>Cash from operating activities</t>
        </is>
      </c>
      <c r="B71" s="2" t="inlineStr"/>
      <c r="C71" s="46">
        <f>Historical!$D$76</f>
        <v/>
      </c>
      <c r="D71" s="46">
        <f>Historical!$E$76</f>
        <v/>
      </c>
      <c r="E71" s="46">
        <f>Historical!$F$76</f>
        <v/>
      </c>
      <c r="F71" s="45">
        <f>F63+F64+F65+F66+F67+F68+F69+F70</f>
        <v/>
      </c>
      <c r="G71" s="45">
        <f>G63+G64+G65+G66+G67+G68+G69+G70</f>
        <v/>
      </c>
      <c r="H71" s="45">
        <f>H63+H64+H65+H66+H67+H68+H69+H70</f>
        <v/>
      </c>
      <c r="I71" s="45">
        <f>I63+I64+I65+I66+I67+I68+I69+I70</f>
        <v/>
      </c>
      <c r="J71" s="45">
        <f>J63+J64+J65+J66+J67+J68+J69+J70</f>
        <v/>
      </c>
    </row>
    <row r="72">
      <c r="A72" s="6" t="inlineStr">
        <is>
          <t>Capital expenditure</t>
        </is>
      </c>
      <c r="B72" s="2" t="inlineStr">
        <is>
          <t>% of sales</t>
        </is>
      </c>
      <c r="C72" s="37">
        <f>Historical!$D$78</f>
        <v/>
      </c>
      <c r="D72" s="37">
        <f>Historical!$E$78</f>
        <v/>
      </c>
      <c r="E72" s="37">
        <f>Historical!$F$78</f>
        <v/>
      </c>
      <c r="F72" s="38">
        <f>-Assumptions!$D$19*F24</f>
        <v/>
      </c>
      <c r="G72" s="38">
        <f>-Assumptions!$D$19*G24</f>
        <v/>
      </c>
      <c r="H72" s="38">
        <f>-Assumptions!$D$19*H24</f>
        <v/>
      </c>
      <c r="I72" s="38">
        <f>-Assumptions!$D$19*I24</f>
        <v/>
      </c>
      <c r="J72" s="38">
        <f>-Assumptions!$D$19*J24</f>
        <v/>
      </c>
    </row>
    <row r="73">
      <c r="A73" s="6" t="inlineStr">
        <is>
          <t>Net new borrowing</t>
        </is>
      </c>
      <c r="B73" s="2" t="inlineStr"/>
      <c r="F73" s="47">
        <f>Assumptions!$D$33</f>
        <v/>
      </c>
      <c r="G73" s="47">
        <f>Assumptions!$D$33</f>
        <v/>
      </c>
      <c r="H73" s="47">
        <f>Assumptions!$D$33</f>
        <v/>
      </c>
      <c r="I73" s="47">
        <f>Assumptions!$D$33</f>
        <v/>
      </c>
      <c r="J73" s="47">
        <f>Assumptions!$D$33</f>
        <v/>
      </c>
    </row>
    <row r="74">
      <c r="A74" s="6" t="inlineStr">
        <is>
          <t>Dividends paid</t>
        </is>
      </c>
      <c r="B74" s="2" t="inlineStr">
        <is>
          <t>% of net income</t>
        </is>
      </c>
      <c r="C74" s="37">
        <f>Historical!$D$80</f>
        <v/>
      </c>
      <c r="D74" s="37">
        <f>Historical!$E$80</f>
        <v/>
      </c>
      <c r="E74" s="37">
        <f>Historical!$F$80</f>
        <v/>
      </c>
      <c r="F74" s="38">
        <f>-Assumptions!$D$31*F37</f>
        <v/>
      </c>
      <c r="G74" s="38">
        <f>-Assumptions!$D$31*G37</f>
        <v/>
      </c>
      <c r="H74" s="38">
        <f>-Assumptions!$D$31*H37</f>
        <v/>
      </c>
      <c r="I74" s="38">
        <f>-Assumptions!$D$31*I37</f>
        <v/>
      </c>
      <c r="J74" s="38">
        <f>-Assumptions!$D$31*J37</f>
        <v/>
      </c>
    </row>
    <row r="75">
      <c r="A75" s="6" t="inlineStr">
        <is>
          <t>Share repurchases</t>
        </is>
      </c>
      <c r="B75" s="2" t="inlineStr"/>
      <c r="C75" s="37">
        <f>Historical!$D$81</f>
        <v/>
      </c>
      <c r="D75" s="37">
        <f>Historical!$E$81</f>
        <v/>
      </c>
      <c r="E75" s="37">
        <f>Historical!$F$81</f>
        <v/>
      </c>
      <c r="F75" s="38">
        <f>-Assumptions!$D$32</f>
        <v/>
      </c>
      <c r="G75" s="38">
        <f>-Assumptions!$D$32</f>
        <v/>
      </c>
      <c r="H75" s="38">
        <f>-Assumptions!$D$32</f>
        <v/>
      </c>
      <c r="I75" s="38">
        <f>-Assumptions!$D$32</f>
        <v/>
      </c>
      <c r="J75" s="38">
        <f>-Assumptions!$D$32</f>
        <v/>
      </c>
    </row>
    <row r="76">
      <c r="A76" s="6" t="inlineStr">
        <is>
          <t>Net change in cash</t>
        </is>
      </c>
      <c r="B76" s="2" t="inlineStr"/>
      <c r="F76" s="41">
        <f>F71+F72+F73+F74+F75</f>
        <v/>
      </c>
      <c r="G76" s="41">
        <f>G71+G72+G73+G74+G75</f>
        <v/>
      </c>
      <c r="H76" s="41">
        <f>H71+H72+H73+H74+H75</f>
        <v/>
      </c>
      <c r="I76" s="41">
        <f>I71+I72+I73+I74+I75</f>
        <v/>
      </c>
      <c r="J76" s="41">
        <f>J71+J72+J73+J74+J75</f>
        <v/>
      </c>
    </row>
    <row r="77">
      <c r="A77" s="6" t="inlineStr">
        <is>
          <t>Cash at beginning of year</t>
        </is>
      </c>
      <c r="B77" s="2" t="inlineStr"/>
      <c r="F77" s="38">
        <f>E42</f>
        <v/>
      </c>
      <c r="G77" s="38">
        <f>F42</f>
        <v/>
      </c>
      <c r="H77" s="38">
        <f>G42</f>
        <v/>
      </c>
      <c r="I77" s="38">
        <f>H42</f>
        <v/>
      </c>
      <c r="J77" s="38">
        <f>I42</f>
        <v/>
      </c>
    </row>
    <row r="78">
      <c r="A78" s="5" t="inlineStr">
        <is>
          <t>Cash at end of year</t>
        </is>
      </c>
      <c r="B78" s="2" t="inlineStr"/>
      <c r="C78" s="42">
        <f>Historical!$D$83</f>
        <v/>
      </c>
      <c r="D78" s="42">
        <f>Historical!$E$83</f>
        <v/>
      </c>
      <c r="E78" s="42">
        <f>Historical!$F$83</f>
        <v/>
      </c>
      <c r="F78" s="43">
        <f>F77+F76</f>
        <v/>
      </c>
      <c r="G78" s="43">
        <f>G77+G76</f>
        <v/>
      </c>
      <c r="H78" s="43">
        <f>H77+H76</f>
        <v/>
      </c>
      <c r="I78" s="43">
        <f>I77+I76</f>
        <v/>
      </c>
      <c r="J78" s="43">
        <f>J77+J76</f>
        <v/>
      </c>
    </row>
    <row r="80">
      <c r="A80" s="3" t="inlineStr">
        <is>
          <t>FREE CASH FLOW AND DCF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6" t="inlineStr">
        <is>
          <t>Operating income</t>
        </is>
      </c>
      <c r="B81" s="2" t="inlineStr"/>
      <c r="F81" s="38">
        <f>F31</f>
        <v/>
      </c>
      <c r="G81" s="38">
        <f>G31</f>
        <v/>
      </c>
      <c r="H81" s="38">
        <f>H31</f>
        <v/>
      </c>
      <c r="I81" s="38">
        <f>I31</f>
        <v/>
      </c>
      <c r="J81" s="38">
        <f>J31</f>
        <v/>
      </c>
    </row>
    <row r="82">
      <c r="A82" s="6" t="inlineStr">
        <is>
          <t>Less: tax on operating income</t>
        </is>
      </c>
      <c r="B82" s="2" t="inlineStr"/>
      <c r="F82" s="38">
        <f>-Assumptions!$D$21*F31</f>
        <v/>
      </c>
      <c r="G82" s="38">
        <f>-Assumptions!$D$21*G31</f>
        <v/>
      </c>
      <c r="H82" s="38">
        <f>-Assumptions!$D$21*H31</f>
        <v/>
      </c>
      <c r="I82" s="38">
        <f>-Assumptions!$D$21*I31</f>
        <v/>
      </c>
      <c r="J82" s="38">
        <f>-Assumptions!$D$21*J31</f>
        <v/>
      </c>
    </row>
    <row r="83">
      <c r="A83" s="6" t="inlineStr">
        <is>
          <t>Net operating profit after tax</t>
        </is>
      </c>
      <c r="B83" s="2" t="inlineStr"/>
      <c r="F83" s="41">
        <f>F81+F82</f>
        <v/>
      </c>
      <c r="G83" s="41">
        <f>G81+G82</f>
        <v/>
      </c>
      <c r="H83" s="41">
        <f>H81+H82</f>
        <v/>
      </c>
      <c r="I83" s="41">
        <f>I81+I82</f>
        <v/>
      </c>
      <c r="J83" s="41">
        <f>J81+J82</f>
        <v/>
      </c>
    </row>
    <row r="84">
      <c r="A84" s="6" t="inlineStr">
        <is>
          <t>Plus: depreciation and amortization</t>
        </is>
      </c>
      <c r="B84" s="2" t="inlineStr"/>
      <c r="F84" s="38">
        <f>F38</f>
        <v/>
      </c>
      <c r="G84" s="38">
        <f>G38</f>
        <v/>
      </c>
      <c r="H84" s="38">
        <f>H38</f>
        <v/>
      </c>
      <c r="I84" s="38">
        <f>I38</f>
        <v/>
      </c>
      <c r="J84" s="38">
        <f>J38</f>
        <v/>
      </c>
    </row>
    <row r="85">
      <c r="A85" s="6" t="inlineStr">
        <is>
          <t>Less: capital expenditure</t>
        </is>
      </c>
      <c r="B85" s="2" t="inlineStr"/>
      <c r="F85" s="38">
        <f>F72</f>
        <v/>
      </c>
      <c r="G85" s="38">
        <f>G72</f>
        <v/>
      </c>
      <c r="H85" s="38">
        <f>H72</f>
        <v/>
      </c>
      <c r="I85" s="38">
        <f>I72</f>
        <v/>
      </c>
      <c r="J85" s="38">
        <f>J72</f>
        <v/>
      </c>
    </row>
    <row r="86">
      <c r="A86" s="6" t="inlineStr">
        <is>
          <t>Less: investment in content assets</t>
        </is>
      </c>
      <c r="B86" s="2" t="inlineStr"/>
      <c r="F86" s="38">
        <f>F65</f>
        <v/>
      </c>
      <c r="G86" s="38">
        <f>G65</f>
        <v/>
      </c>
      <c r="H86" s="38">
        <f>H65</f>
        <v/>
      </c>
      <c r="I86" s="38">
        <f>I65</f>
        <v/>
      </c>
      <c r="J86" s="38">
        <f>J65</f>
        <v/>
      </c>
    </row>
    <row r="87">
      <c r="A87" s="6" t="inlineStr">
        <is>
          <t>Less: increase in working capital</t>
        </is>
      </c>
      <c r="B87" s="2" t="inlineStr"/>
      <c r="F87" s="38">
        <f>F66+F67+F68+F69+F70</f>
        <v/>
      </c>
      <c r="G87" s="38">
        <f>G66+G67+G68+G69+G70</f>
        <v/>
      </c>
      <c r="H87" s="38">
        <f>H66+H67+H68+H69+H70</f>
        <v/>
      </c>
      <c r="I87" s="38">
        <f>I66+I67+I68+I69+I70</f>
        <v/>
      </c>
      <c r="J87" s="38">
        <f>J66+J67+J68+J69+J70</f>
        <v/>
      </c>
    </row>
    <row r="88">
      <c r="A88" s="5" t="inlineStr">
        <is>
          <t>Free cash flow to the firm</t>
        </is>
      </c>
      <c r="B88" s="2" t="inlineStr"/>
      <c r="F88" s="45">
        <f>F83+F84+F85+F86+F87</f>
        <v/>
      </c>
      <c r="G88" s="45">
        <f>G83+G84+G85+G86+G87</f>
        <v/>
      </c>
      <c r="H88" s="45">
        <f>H83+H84+H85+H86+H87</f>
        <v/>
      </c>
      <c r="I88" s="45">
        <f>I83+I84+I85+I86+I87</f>
        <v/>
      </c>
      <c r="J88" s="45">
        <f>J83+J84+J85+J86+J87</f>
        <v/>
      </c>
    </row>
    <row r="89">
      <c r="A89" s="6" t="inlineStr">
        <is>
          <t>Discount factor</t>
        </is>
      </c>
      <c r="B89" s="2" t="inlineStr">
        <is>
          <t>1 / (1 + WACC)^year</t>
        </is>
      </c>
      <c r="F89" s="48">
        <f>1/(1+Assumptions!$D$50)^F$5</f>
        <v/>
      </c>
      <c r="G89" s="48">
        <f>1/(1+Assumptions!$D$50)^G$5</f>
        <v/>
      </c>
      <c r="H89" s="48">
        <f>1/(1+Assumptions!$D$50)^H$5</f>
        <v/>
      </c>
      <c r="I89" s="48">
        <f>1/(1+Assumptions!$D$50)^I$5</f>
        <v/>
      </c>
      <c r="J89" s="48">
        <f>1/(1+Assumptions!$D$50)^J$5</f>
        <v/>
      </c>
    </row>
    <row r="90">
      <c r="A90" s="6" t="inlineStr">
        <is>
          <t>Present value of free cash flow</t>
        </is>
      </c>
      <c r="B90" s="2" t="inlineStr"/>
      <c r="F90" s="38">
        <f>F88*F89</f>
        <v/>
      </c>
      <c r="G90" s="38">
        <f>G88*G89</f>
        <v/>
      </c>
      <c r="H90" s="38">
        <f>H88*H89</f>
        <v/>
      </c>
      <c r="I90" s="38">
        <f>I88*I89</f>
        <v/>
      </c>
      <c r="J90" s="38">
        <f>J88*J89</f>
        <v/>
      </c>
    </row>
    <row r="92">
      <c r="A92" s="3" t="inlineStr">
        <is>
          <t>VALUATION (as of March 31, 2026)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6" t="inlineStr">
        <is>
          <t>WACC</t>
        </is>
      </c>
      <c r="C93" s="49">
        <f>Assumptions!$D$50</f>
        <v/>
      </c>
      <c r="D93" s="2" t="inlineStr"/>
    </row>
    <row r="94">
      <c r="A94" s="6" t="inlineStr">
        <is>
          <t>Terminal growth rate</t>
        </is>
      </c>
      <c r="C94" s="49">
        <f>Assumptions!$D$35</f>
        <v/>
      </c>
      <c r="D94" s="2" t="inlineStr"/>
    </row>
    <row r="95">
      <c r="A95" s="6" t="inlineStr">
        <is>
          <t>Present value of FY2026–FY2030 free cash flow</t>
        </is>
      </c>
      <c r="C95" s="25">
        <f>SUM(F90:J90)</f>
        <v/>
      </c>
      <c r="D95" s="2" t="inlineStr"/>
    </row>
    <row r="96">
      <c r="A96" s="6" t="inlineStr">
        <is>
          <t>Terminal value at FY2030</t>
        </is>
      </c>
      <c r="C96" s="25">
        <f>J88*(1+$C$94)/($C$93-$C$94)</f>
        <v/>
      </c>
      <c r="D96" s="2" t="inlineStr">
        <is>
          <t>Gordon growth: FCF x (1 + g) / (WACC - g)</t>
        </is>
      </c>
    </row>
    <row r="97">
      <c r="A97" s="6" t="inlineStr">
        <is>
          <t>Present value of terminal value</t>
        </is>
      </c>
      <c r="C97" s="25">
        <f>$C$96*J89</f>
        <v/>
      </c>
      <c r="D97" s="2" t="inlineStr"/>
    </row>
    <row r="98">
      <c r="A98" s="5" t="inlineStr">
        <is>
          <t>Enterprise value</t>
        </is>
      </c>
      <c r="C98" s="50">
        <f>$C$95+$C$97</f>
        <v/>
      </c>
      <c r="D98" s="2" t="inlineStr"/>
    </row>
    <row r="99">
      <c r="A99" s="6" t="inlineStr">
        <is>
          <t>Plus: cash and cash equivalents</t>
        </is>
      </c>
      <c r="C99" s="25">
        <f>E42</f>
        <v/>
      </c>
      <c r="D99" s="2" t="inlineStr"/>
    </row>
    <row r="100">
      <c r="A100" s="6" t="inlineStr">
        <is>
          <t>Plus: equity-method investments and other financial assets</t>
        </is>
      </c>
      <c r="C100" s="25">
        <f>Historical!$F$37+Historical!$F$34+Historical!$F$45</f>
        <v/>
      </c>
      <c r="D100" s="2" t="inlineStr">
        <is>
          <t>Book value; their income is excluded from operating income</t>
        </is>
      </c>
    </row>
    <row r="101">
      <c r="A101" s="6" t="inlineStr">
        <is>
          <t>Less: borrowings</t>
        </is>
      </c>
      <c r="C101" s="25">
        <f>-E53</f>
        <v/>
      </c>
      <c r="D101" s="2" t="inlineStr"/>
    </row>
    <row r="102">
      <c r="A102" s="6" t="inlineStr">
        <is>
          <t>Less: lease liabilities</t>
        </is>
      </c>
      <c r="C102" s="25">
        <f>-E54</f>
        <v/>
      </c>
      <c r="D102" s="2" t="inlineStr"/>
    </row>
    <row r="103">
      <c r="A103" s="6" t="inlineStr">
        <is>
          <t>Less: defined benefit liabilities</t>
        </is>
      </c>
      <c r="C103" s="25">
        <f>-Historical!$F$62</f>
        <v/>
      </c>
      <c r="D103" s="2" t="inlineStr"/>
    </row>
    <row r="104">
      <c r="A104" s="6" t="inlineStr">
        <is>
          <t>Less: noncontrolling interests</t>
        </is>
      </c>
      <c r="C104" s="25">
        <f>-Historical!$F$71</f>
        <v/>
      </c>
      <c r="D104" s="2" t="inlineStr">
        <is>
          <t>Book value</t>
        </is>
      </c>
    </row>
    <row r="105">
      <c r="A105" s="6" t="inlineStr">
        <is>
          <t>Net non-operating items</t>
        </is>
      </c>
      <c r="C105" s="25">
        <f>$C$99+$C$100+$C$101+$C$102+$C$103+$C$104</f>
        <v/>
      </c>
      <c r="D105" s="2" t="inlineStr"/>
    </row>
    <row r="106">
      <c r="A106" s="5" t="inlineStr">
        <is>
          <t>Equity value</t>
        </is>
      </c>
      <c r="C106" s="50">
        <f>$C$98+$C$105</f>
        <v/>
      </c>
      <c r="D106" s="2" t="inlineStr"/>
    </row>
    <row r="107">
      <c r="A107" s="5" t="inlineStr">
        <is>
          <t>Value per share (¥)</t>
        </is>
      </c>
      <c r="C107" s="51">
        <f>$C$106*1000000/Assumptions!$D$42</f>
        <v/>
      </c>
      <c r="D107" s="2" t="inlineStr"/>
    </row>
    <row r="108">
      <c r="A108" s="5" t="inlineStr">
        <is>
          <t>Value per ADR (US$)</t>
        </is>
      </c>
      <c r="C108" s="52">
        <f>$C$107/Assumptions!$D$41</f>
        <v/>
      </c>
      <c r="D108" s="2" t="inlineStr"/>
    </row>
    <row r="109">
      <c r="A109" s="6" t="inlineStr">
        <is>
          <t>Market price per share (¥)</t>
        </is>
      </c>
      <c r="C109" s="53">
        <f>Assumptions!$D$43</f>
        <v/>
      </c>
      <c r="D109" s="2" t="inlineStr"/>
    </row>
    <row r="110">
      <c r="A110" s="5" t="inlineStr">
        <is>
          <t>Value versus market price</t>
        </is>
      </c>
      <c r="C110" s="54">
        <f>$C$107/$C$109-1</f>
        <v/>
      </c>
      <c r="D110" s="2" t="inlineStr"/>
    </row>
    <row r="111">
      <c r="A111" s="6" t="inlineStr">
        <is>
          <t>Terminal value as share of enterprise value</t>
        </is>
      </c>
      <c r="C111" s="55">
        <f>$C$97/$C$98</f>
        <v/>
      </c>
      <c r="D111" s="2" t="inlineStr"/>
    </row>
    <row r="112">
      <c r="A112" s="6" t="inlineStr">
        <is>
          <t>Implied EV / FY2025 EBITDA</t>
        </is>
      </c>
      <c r="C112" s="56">
        <f>$C$98/E39</f>
        <v/>
      </c>
      <c r="D11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26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</cols>
  <sheetData>
    <row r="1">
      <c r="A1" s="1" t="inlineStr">
        <is>
          <t>Sony Group — Downside case: three statements and DCF</t>
        </is>
      </c>
    </row>
    <row r="2">
      <c r="A2" s="2" t="inlineStr">
        <is>
          <t>¥ millions unless stated. A = reported, E = forecast. Every forecast cell is a formula driven by the Downside column of the Assumptions sheet.</t>
        </is>
      </c>
    </row>
    <row r="4">
      <c r="A4" s="18" t="inlineStr"/>
      <c r="B4" s="12" t="inlineStr">
        <is>
          <t>Driver</t>
        </is>
      </c>
      <c r="C4" s="12" t="inlineStr">
        <is>
          <t>FY2023A</t>
        </is>
      </c>
      <c r="D4" s="12" t="inlineStr">
        <is>
          <t>FY2024A</t>
        </is>
      </c>
      <c r="E4" s="12" t="inlineStr">
        <is>
          <t>FY2025A</t>
        </is>
      </c>
      <c r="F4" s="12" t="inlineStr">
        <is>
          <t>FY2026E</t>
        </is>
      </c>
      <c r="G4" s="12" t="inlineStr">
        <is>
          <t>FY2027E</t>
        </is>
      </c>
      <c r="H4" s="12" t="inlineStr">
        <is>
          <t>FY2028E</t>
        </is>
      </c>
      <c r="I4" s="12" t="inlineStr">
        <is>
          <t>FY2029E</t>
        </is>
      </c>
      <c r="J4" s="12" t="inlineStr">
        <is>
          <t>FY2030E</t>
        </is>
      </c>
    </row>
    <row r="5">
      <c r="A5" s="2" t="inlineStr">
        <is>
          <t>Forecast year</t>
        </is>
      </c>
      <c r="F5" s="36" t="n">
        <v>1</v>
      </c>
      <c r="G5" s="36" t="n">
        <v>2</v>
      </c>
      <c r="H5" s="36" t="n">
        <v>3</v>
      </c>
      <c r="I5" s="36" t="n">
        <v>4</v>
      </c>
      <c r="J5" s="36" t="n">
        <v>5</v>
      </c>
    </row>
    <row r="7">
      <c r="A7" s="3" t="inlineStr">
        <is>
          <t>REVENUE BUILD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6" t="inlineStr">
        <is>
          <t>Game &amp; Network Services</t>
        </is>
      </c>
      <c r="B8" s="2" t="inlineStr"/>
      <c r="C8" s="37">
        <f>Historical!$D$6</f>
        <v/>
      </c>
      <c r="D8" s="37">
        <f>Historical!$E$6</f>
        <v/>
      </c>
      <c r="E8" s="37">
        <f>Historical!$F$6</f>
        <v/>
      </c>
      <c r="F8" s="38">
        <f>E8*(1+F9)</f>
        <v/>
      </c>
      <c r="G8" s="38">
        <f>F8*(1+G9)</f>
        <v/>
      </c>
      <c r="H8" s="38">
        <f>G8*(1+H9)</f>
        <v/>
      </c>
      <c r="I8" s="38">
        <f>H8*(1+I9)</f>
        <v/>
      </c>
      <c r="J8" s="38">
        <f>I8*(1+J9)</f>
        <v/>
      </c>
    </row>
    <row r="9">
      <c r="A9" s="6" t="inlineStr">
        <is>
          <t xml:space="preserve">   growth</t>
        </is>
      </c>
      <c r="B9" s="2" t="inlineStr">
        <is>
          <t>start, fading to long-run</t>
        </is>
      </c>
      <c r="C9" s="22">
        <f>Historical!$D$6/Historical!$C$6-1</f>
        <v/>
      </c>
      <c r="D9" s="22">
        <f>Historical!$E$6/Historical!$D$6-1</f>
        <v/>
      </c>
      <c r="E9" s="22">
        <f>Historical!$F$6/Historical!$E$6-1</f>
        <v/>
      </c>
      <c r="F9" s="39">
        <f>Assumptions!$E$6+(Assumptions!$E$13-Assumptions!$E$6)*(F$5-1)/4+Assumptions!$E$12</f>
        <v/>
      </c>
      <c r="G9" s="39">
        <f>Assumptions!$E$6+(Assumptions!$E$13-Assumptions!$E$6)*(G$5-1)/4+Assumptions!$E$12</f>
        <v/>
      </c>
      <c r="H9" s="39">
        <f>Assumptions!$E$6+(Assumptions!$E$13-Assumptions!$E$6)*(H$5-1)/4+Assumptions!$E$12</f>
        <v/>
      </c>
      <c r="I9" s="39">
        <f>Assumptions!$E$6+(Assumptions!$E$13-Assumptions!$E$6)*(I$5-1)/4+Assumptions!$E$12</f>
        <v/>
      </c>
      <c r="J9" s="39">
        <f>Assumptions!$E$6+(Assumptions!$E$13-Assumptions!$E$6)*(J$5-1)/4+Assumptions!$E$12</f>
        <v/>
      </c>
    </row>
    <row r="10">
      <c r="A10" s="6" t="inlineStr">
        <is>
          <t>Music</t>
        </is>
      </c>
      <c r="B10" s="2" t="inlineStr"/>
      <c r="C10" s="37">
        <f>Historical!$D$7</f>
        <v/>
      </c>
      <c r="D10" s="37">
        <f>Historical!$E$7</f>
        <v/>
      </c>
      <c r="E10" s="37">
        <f>Historical!$F$7</f>
        <v/>
      </c>
      <c r="F10" s="38">
        <f>E10*(1+F11)</f>
        <v/>
      </c>
      <c r="G10" s="38">
        <f>F10*(1+G11)</f>
        <v/>
      </c>
      <c r="H10" s="38">
        <f>G10*(1+H11)</f>
        <v/>
      </c>
      <c r="I10" s="38">
        <f>H10*(1+I11)</f>
        <v/>
      </c>
      <c r="J10" s="38">
        <f>I10*(1+J11)</f>
        <v/>
      </c>
    </row>
    <row r="11">
      <c r="A11" s="6" t="inlineStr">
        <is>
          <t xml:space="preserve">   growth</t>
        </is>
      </c>
      <c r="B11" s="2" t="inlineStr">
        <is>
          <t>start, fading to long-run</t>
        </is>
      </c>
      <c r="C11" s="22">
        <f>Historical!$D$7/Historical!$C$7-1</f>
        <v/>
      </c>
      <c r="D11" s="22">
        <f>Historical!$E$7/Historical!$D$7-1</f>
        <v/>
      </c>
      <c r="E11" s="22">
        <f>Historical!$F$7/Historical!$E$7-1</f>
        <v/>
      </c>
      <c r="F11" s="39">
        <f>Assumptions!$E$7+(Assumptions!$E$13-Assumptions!$E$7)*(F$5-1)/4+Assumptions!$E$12</f>
        <v/>
      </c>
      <c r="G11" s="39">
        <f>Assumptions!$E$7+(Assumptions!$E$13-Assumptions!$E$7)*(G$5-1)/4+Assumptions!$E$12</f>
        <v/>
      </c>
      <c r="H11" s="39">
        <f>Assumptions!$E$7+(Assumptions!$E$13-Assumptions!$E$7)*(H$5-1)/4+Assumptions!$E$12</f>
        <v/>
      </c>
      <c r="I11" s="39">
        <f>Assumptions!$E$7+(Assumptions!$E$13-Assumptions!$E$7)*(I$5-1)/4+Assumptions!$E$12</f>
        <v/>
      </c>
      <c r="J11" s="39">
        <f>Assumptions!$E$7+(Assumptions!$E$13-Assumptions!$E$7)*(J$5-1)/4+Assumptions!$E$12</f>
        <v/>
      </c>
    </row>
    <row r="12">
      <c r="A12" s="6" t="inlineStr">
        <is>
          <t>Pictures</t>
        </is>
      </c>
      <c r="B12" s="2" t="inlineStr"/>
      <c r="C12" s="37">
        <f>Historical!$D$8</f>
        <v/>
      </c>
      <c r="D12" s="37">
        <f>Historical!$E$8</f>
        <v/>
      </c>
      <c r="E12" s="37">
        <f>Historical!$F$8</f>
        <v/>
      </c>
      <c r="F12" s="38">
        <f>E12*(1+F13)</f>
        <v/>
      </c>
      <c r="G12" s="38">
        <f>F12*(1+G13)</f>
        <v/>
      </c>
      <c r="H12" s="38">
        <f>G12*(1+H13)</f>
        <v/>
      </c>
      <c r="I12" s="38">
        <f>H12*(1+I13)</f>
        <v/>
      </c>
      <c r="J12" s="38">
        <f>I12*(1+J13)</f>
        <v/>
      </c>
    </row>
    <row r="13">
      <c r="A13" s="6" t="inlineStr">
        <is>
          <t xml:space="preserve">   growth</t>
        </is>
      </c>
      <c r="B13" s="2" t="inlineStr">
        <is>
          <t>start, fading to long-run</t>
        </is>
      </c>
      <c r="C13" s="22">
        <f>Historical!$D$8/Historical!$C$8-1</f>
        <v/>
      </c>
      <c r="D13" s="22">
        <f>Historical!$E$8/Historical!$D$8-1</f>
        <v/>
      </c>
      <c r="E13" s="22">
        <f>Historical!$F$8/Historical!$E$8-1</f>
        <v/>
      </c>
      <c r="F13" s="39">
        <f>Assumptions!$E$8+(Assumptions!$E$13-Assumptions!$E$8)*(F$5-1)/4+Assumptions!$E$12</f>
        <v/>
      </c>
      <c r="G13" s="39">
        <f>Assumptions!$E$8+(Assumptions!$E$13-Assumptions!$E$8)*(G$5-1)/4+Assumptions!$E$12</f>
        <v/>
      </c>
      <c r="H13" s="39">
        <f>Assumptions!$E$8+(Assumptions!$E$13-Assumptions!$E$8)*(H$5-1)/4+Assumptions!$E$12</f>
        <v/>
      </c>
      <c r="I13" s="39">
        <f>Assumptions!$E$8+(Assumptions!$E$13-Assumptions!$E$8)*(I$5-1)/4+Assumptions!$E$12</f>
        <v/>
      </c>
      <c r="J13" s="39">
        <f>Assumptions!$E$8+(Assumptions!$E$13-Assumptions!$E$8)*(J$5-1)/4+Assumptions!$E$12</f>
        <v/>
      </c>
    </row>
    <row r="14">
      <c r="A14" s="6" t="inlineStr">
        <is>
          <t>Entertainment Technology &amp; Services</t>
        </is>
      </c>
      <c r="B14" s="2" t="inlineStr"/>
      <c r="C14" s="37">
        <f>Historical!$D$9</f>
        <v/>
      </c>
      <c r="D14" s="37">
        <f>Historical!$E$9</f>
        <v/>
      </c>
      <c r="E14" s="37">
        <f>Historical!$F$9</f>
        <v/>
      </c>
      <c r="F14" s="38">
        <f>E14*(1+F15)</f>
        <v/>
      </c>
      <c r="G14" s="38">
        <f>F14*(1+G15)</f>
        <v/>
      </c>
      <c r="H14" s="38">
        <f>G14*(1+H15)</f>
        <v/>
      </c>
      <c r="I14" s="38">
        <f>H14*(1+I15)</f>
        <v/>
      </c>
      <c r="J14" s="38">
        <f>I14*(1+J15)</f>
        <v/>
      </c>
    </row>
    <row r="15">
      <c r="A15" s="6" t="inlineStr">
        <is>
          <t xml:space="preserve">   growth</t>
        </is>
      </c>
      <c r="B15" s="2" t="inlineStr">
        <is>
          <t>start, fading to long-run</t>
        </is>
      </c>
      <c r="C15" s="22">
        <f>Historical!$D$9/Historical!$C$9-1</f>
        <v/>
      </c>
      <c r="D15" s="22">
        <f>Historical!$E$9/Historical!$D$9-1</f>
        <v/>
      </c>
      <c r="E15" s="22">
        <f>Historical!$F$9/Historical!$E$9-1</f>
        <v/>
      </c>
      <c r="F15" s="39">
        <f>Assumptions!$E$9+(Assumptions!$E$13-Assumptions!$E$9)*(F$5-1)/4+Assumptions!$E$12</f>
        <v/>
      </c>
      <c r="G15" s="39">
        <f>Assumptions!$E$9+(Assumptions!$E$13-Assumptions!$E$9)*(G$5-1)/4+Assumptions!$E$12</f>
        <v/>
      </c>
      <c r="H15" s="39">
        <f>Assumptions!$E$9+(Assumptions!$E$13-Assumptions!$E$9)*(H$5-1)/4+Assumptions!$E$12</f>
        <v/>
      </c>
      <c r="I15" s="39">
        <f>Assumptions!$E$9+(Assumptions!$E$13-Assumptions!$E$9)*(I$5-1)/4+Assumptions!$E$12</f>
        <v/>
      </c>
      <c r="J15" s="39">
        <f>Assumptions!$E$9+(Assumptions!$E$13-Assumptions!$E$9)*(J$5-1)/4+Assumptions!$E$12</f>
        <v/>
      </c>
    </row>
    <row r="16">
      <c r="A16" s="6" t="inlineStr">
        <is>
          <t>Imaging &amp; Sensing Solutions</t>
        </is>
      </c>
      <c r="B16" s="2" t="inlineStr"/>
      <c r="C16" s="37">
        <f>Historical!$D$10</f>
        <v/>
      </c>
      <c r="D16" s="37">
        <f>Historical!$E$10</f>
        <v/>
      </c>
      <c r="E16" s="37">
        <f>Historical!$F$10</f>
        <v/>
      </c>
      <c r="F16" s="38">
        <f>E16*(1+F17)</f>
        <v/>
      </c>
      <c r="G16" s="38">
        <f>F16*(1+G17)</f>
        <v/>
      </c>
      <c r="H16" s="38">
        <f>G16*(1+H17)</f>
        <v/>
      </c>
      <c r="I16" s="38">
        <f>H16*(1+I17)</f>
        <v/>
      </c>
      <c r="J16" s="38">
        <f>I16*(1+J17)</f>
        <v/>
      </c>
    </row>
    <row r="17">
      <c r="A17" s="6" t="inlineStr">
        <is>
          <t xml:space="preserve">   growth</t>
        </is>
      </c>
      <c r="B17" s="2" t="inlineStr">
        <is>
          <t>start, fading to long-run</t>
        </is>
      </c>
      <c r="C17" s="22">
        <f>Historical!$D$10/Historical!$C$10-1</f>
        <v/>
      </c>
      <c r="D17" s="22">
        <f>Historical!$E$10/Historical!$D$10-1</f>
        <v/>
      </c>
      <c r="E17" s="22">
        <f>Historical!$F$10/Historical!$E$10-1</f>
        <v/>
      </c>
      <c r="F17" s="39">
        <f>Assumptions!$E$10+(Assumptions!$E$13-Assumptions!$E$10)*(F$5-1)/4+Assumptions!$E$12</f>
        <v/>
      </c>
      <c r="G17" s="39">
        <f>Assumptions!$E$10+(Assumptions!$E$13-Assumptions!$E$10)*(G$5-1)/4+Assumptions!$E$12</f>
        <v/>
      </c>
      <c r="H17" s="39">
        <f>Assumptions!$E$10+(Assumptions!$E$13-Assumptions!$E$10)*(H$5-1)/4+Assumptions!$E$12</f>
        <v/>
      </c>
      <c r="I17" s="39">
        <f>Assumptions!$E$10+(Assumptions!$E$13-Assumptions!$E$10)*(I$5-1)/4+Assumptions!$E$12</f>
        <v/>
      </c>
      <c r="J17" s="39">
        <f>Assumptions!$E$10+(Assumptions!$E$13-Assumptions!$E$10)*(J$5-1)/4+Assumptions!$E$12</f>
        <v/>
      </c>
    </row>
    <row r="18">
      <c r="A18" s="6" t="inlineStr">
        <is>
          <t>All Other</t>
        </is>
      </c>
      <c r="B18" s="2" t="inlineStr"/>
      <c r="C18" s="37">
        <f>Historical!$D$11</f>
        <v/>
      </c>
      <c r="D18" s="37">
        <f>Historical!$E$11</f>
        <v/>
      </c>
      <c r="E18" s="37">
        <f>Historical!$F$11</f>
        <v/>
      </c>
      <c r="F18" s="38">
        <f>E18*(1+F19)</f>
        <v/>
      </c>
      <c r="G18" s="38">
        <f>F18*(1+G19)</f>
        <v/>
      </c>
      <c r="H18" s="38">
        <f>G18*(1+H19)</f>
        <v/>
      </c>
      <c r="I18" s="38">
        <f>H18*(1+I19)</f>
        <v/>
      </c>
      <c r="J18" s="38">
        <f>I18*(1+J19)</f>
        <v/>
      </c>
    </row>
    <row r="19">
      <c r="A19" s="6" t="inlineStr">
        <is>
          <t xml:space="preserve">   growth</t>
        </is>
      </c>
      <c r="B19" s="2" t="inlineStr">
        <is>
          <t>start, fading to long-run</t>
        </is>
      </c>
      <c r="C19" s="22">
        <f>Historical!$D$11/Historical!$C$11-1</f>
        <v/>
      </c>
      <c r="D19" s="22">
        <f>Historical!$E$11/Historical!$D$11-1</f>
        <v/>
      </c>
      <c r="E19" s="22">
        <f>Historical!$F$11/Historical!$E$11-1</f>
        <v/>
      </c>
      <c r="F19" s="39">
        <f>Assumptions!$E$11+(Assumptions!$E$13-Assumptions!$E$11)*(F$5-1)/4+Assumptions!$E$12</f>
        <v/>
      </c>
      <c r="G19" s="39">
        <f>Assumptions!$E$11+(Assumptions!$E$13-Assumptions!$E$11)*(G$5-1)/4+Assumptions!$E$12</f>
        <v/>
      </c>
      <c r="H19" s="39">
        <f>Assumptions!$E$11+(Assumptions!$E$13-Assumptions!$E$11)*(H$5-1)/4+Assumptions!$E$12</f>
        <v/>
      </c>
      <c r="I19" s="39">
        <f>Assumptions!$E$11+(Assumptions!$E$13-Assumptions!$E$11)*(I$5-1)/4+Assumptions!$E$12</f>
        <v/>
      </c>
      <c r="J19" s="39">
        <f>Assumptions!$E$11+(Assumptions!$E$13-Assumptions!$E$11)*(J$5-1)/4+Assumptions!$E$12</f>
        <v/>
      </c>
    </row>
    <row r="20">
      <c r="A20" s="6" t="inlineStr">
        <is>
          <t>Segment sales</t>
        </is>
      </c>
      <c r="B20" s="2" t="inlineStr"/>
      <c r="C20" s="40">
        <f>C8+C10+C12+C14+C16+C18</f>
        <v/>
      </c>
      <c r="D20" s="40">
        <f>D8+D10+D12+D14+D16+D18</f>
        <v/>
      </c>
      <c r="E20" s="40">
        <f>E8+E10+E12+E14+E16+E18</f>
        <v/>
      </c>
      <c r="F20" s="41">
        <f>F8+F10+F12+F14+F16+F18</f>
        <v/>
      </c>
      <c r="G20" s="41">
        <f>G8+G10+G12+G14+G16+G18</f>
        <v/>
      </c>
      <c r="H20" s="41">
        <f>H8+H10+H12+H14+H16+H18</f>
        <v/>
      </c>
      <c r="I20" s="41">
        <f>I8+I10+I12+I14+I16+I18</f>
        <v/>
      </c>
      <c r="J20" s="41">
        <f>J8+J10+J12+J14+J16+J18</f>
        <v/>
      </c>
    </row>
    <row r="21">
      <c r="A21" s="6" t="inlineStr">
        <is>
          <t>Corporate and elimination</t>
        </is>
      </c>
      <c r="B21" s="2" t="inlineStr">
        <is>
          <t>% of segment sales</t>
        </is>
      </c>
      <c r="C21" s="25">
        <f>Historical!$D$14-C20</f>
        <v/>
      </c>
      <c r="D21" s="25">
        <f>Historical!$E$14-D20</f>
        <v/>
      </c>
      <c r="E21" s="25">
        <f>Historical!$F$14-E20</f>
        <v/>
      </c>
      <c r="F21" s="38">
        <f>-Assumptions!$E$14*F20</f>
        <v/>
      </c>
      <c r="G21" s="38">
        <f>-Assumptions!$E$14*G20</f>
        <v/>
      </c>
      <c r="H21" s="38">
        <f>-Assumptions!$E$14*H20</f>
        <v/>
      </c>
      <c r="I21" s="38">
        <f>-Assumptions!$E$14*I20</f>
        <v/>
      </c>
      <c r="J21" s="38">
        <f>-Assumptions!$E$14*J20</f>
        <v/>
      </c>
    </row>
    <row r="23">
      <c r="A23" s="3" t="inlineStr">
        <is>
          <t>INCOME STATEMENT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5" t="inlineStr">
        <is>
          <t>Sales</t>
        </is>
      </c>
      <c r="B24" s="2" t="inlineStr"/>
      <c r="C24" s="42">
        <f>Historical!$D$14</f>
        <v/>
      </c>
      <c r="D24" s="42">
        <f>Historical!$E$14</f>
        <v/>
      </c>
      <c r="E24" s="42">
        <f>Historical!$F$14</f>
        <v/>
      </c>
      <c r="F24" s="43">
        <f>F20+F21</f>
        <v/>
      </c>
      <c r="G24" s="43">
        <f>G20+G21</f>
        <v/>
      </c>
      <c r="H24" s="43">
        <f>H20+H21</f>
        <v/>
      </c>
      <c r="I24" s="43">
        <f>I20+I21</f>
        <v/>
      </c>
      <c r="J24" s="43">
        <f>J20+J21</f>
        <v/>
      </c>
    </row>
    <row r="25">
      <c r="A25" s="6" t="inlineStr">
        <is>
          <t xml:space="preserve">   growth</t>
        </is>
      </c>
      <c r="B25" s="2" t="inlineStr"/>
      <c r="D25" s="22">
        <f>D24/C24-1</f>
        <v/>
      </c>
      <c r="E25" s="22">
        <f>E24/D24-1</f>
        <v/>
      </c>
      <c r="F25" s="39">
        <f>F24/E24-1</f>
        <v/>
      </c>
      <c r="G25" s="39">
        <f>G24/F24-1</f>
        <v/>
      </c>
      <c r="H25" s="39">
        <f>H24/G24-1</f>
        <v/>
      </c>
      <c r="I25" s="39">
        <f>I24/H24-1</f>
        <v/>
      </c>
      <c r="J25" s="39">
        <f>J24/I24-1</f>
        <v/>
      </c>
    </row>
    <row r="26">
      <c r="A26" s="6" t="inlineStr">
        <is>
          <t>Cost of sales</t>
        </is>
      </c>
      <c r="B26" s="2" t="inlineStr">
        <is>
          <t>% of sales</t>
        </is>
      </c>
      <c r="C26" s="37">
        <f>Historical!$D$15</f>
        <v/>
      </c>
      <c r="D26" s="37">
        <f>Historical!$E$15</f>
        <v/>
      </c>
      <c r="E26" s="37">
        <f>Historical!$F$15</f>
        <v/>
      </c>
      <c r="F26" s="38">
        <f>Assumptions!$E$16*F24</f>
        <v/>
      </c>
      <c r="G26" s="38">
        <f>Assumptions!$E$16*G24</f>
        <v/>
      </c>
      <c r="H26" s="38">
        <f>Assumptions!$E$16*H24</f>
        <v/>
      </c>
      <c r="I26" s="38">
        <f>Assumptions!$E$16*I24</f>
        <v/>
      </c>
      <c r="J26" s="38">
        <f>Assumptions!$E$16*J24</f>
        <v/>
      </c>
    </row>
    <row r="27">
      <c r="A27" s="6" t="inlineStr">
        <is>
          <t>Gross profit</t>
        </is>
      </c>
      <c r="B27" s="2" t="inlineStr"/>
      <c r="C27" s="40">
        <f>C24-C26</f>
        <v/>
      </c>
      <c r="D27" s="40">
        <f>D24-D26</f>
        <v/>
      </c>
      <c r="E27" s="40">
        <f>E24-E26</f>
        <v/>
      </c>
      <c r="F27" s="41">
        <f>F24-F26</f>
        <v/>
      </c>
      <c r="G27" s="41">
        <f>G24-G26</f>
        <v/>
      </c>
      <c r="H27" s="41">
        <f>H24-H26</f>
        <v/>
      </c>
      <c r="I27" s="41">
        <f>I24-I26</f>
        <v/>
      </c>
      <c r="J27" s="41">
        <f>J24-J26</f>
        <v/>
      </c>
    </row>
    <row r="28">
      <c r="A28" s="6" t="inlineStr">
        <is>
          <t>Selling, general and administrative</t>
        </is>
      </c>
      <c r="B28" s="2" t="inlineStr">
        <is>
          <t>% of sales</t>
        </is>
      </c>
      <c r="C28" s="37">
        <f>Historical!$D$16</f>
        <v/>
      </c>
      <c r="D28" s="37">
        <f>Historical!$E$16</f>
        <v/>
      </c>
      <c r="E28" s="37">
        <f>Historical!$F$16</f>
        <v/>
      </c>
      <c r="F28" s="38">
        <f>Assumptions!$E$17*F24</f>
        <v/>
      </c>
      <c r="G28" s="38">
        <f>Assumptions!$E$17*G24</f>
        <v/>
      </c>
      <c r="H28" s="38">
        <f>Assumptions!$E$17*H24</f>
        <v/>
      </c>
      <c r="I28" s="38">
        <f>Assumptions!$E$17*I24</f>
        <v/>
      </c>
      <c r="J28" s="38">
        <f>Assumptions!$E$17*J24</f>
        <v/>
      </c>
    </row>
    <row r="29">
      <c r="A29" s="6" t="inlineStr">
        <is>
          <t>Other operating (income) expense, net</t>
        </is>
      </c>
      <c r="B29" s="2" t="inlineStr">
        <is>
          <t>assumed nil</t>
        </is>
      </c>
      <c r="C29" s="37">
        <f>Historical!$D$17</f>
        <v/>
      </c>
      <c r="D29" s="37">
        <f>Historical!$E$17</f>
        <v/>
      </c>
      <c r="E29" s="37">
        <f>Historical!$F$17</f>
        <v/>
      </c>
      <c r="F29" s="38">
        <f>0</f>
        <v/>
      </c>
      <c r="G29" s="38">
        <f>0</f>
        <v/>
      </c>
      <c r="H29" s="38">
        <f>0</f>
        <v/>
      </c>
      <c r="I29" s="38">
        <f>0</f>
        <v/>
      </c>
      <c r="J29" s="38">
        <f>0</f>
        <v/>
      </c>
    </row>
    <row r="30">
      <c r="A30" s="6" t="inlineStr">
        <is>
          <t>Share of profit (loss) of equity-method investments</t>
        </is>
      </c>
      <c r="B30" s="2" t="inlineStr">
        <is>
          <t>assumed nil</t>
        </is>
      </c>
      <c r="C30" s="37">
        <f>Historical!$D$18</f>
        <v/>
      </c>
      <c r="D30" s="37">
        <f>Historical!$E$18</f>
        <v/>
      </c>
      <c r="E30" s="37">
        <f>Historical!$F$18</f>
        <v/>
      </c>
      <c r="F30" s="38">
        <f>0</f>
        <v/>
      </c>
      <c r="G30" s="38">
        <f>0</f>
        <v/>
      </c>
      <c r="H30" s="38">
        <f>0</f>
        <v/>
      </c>
      <c r="I30" s="38">
        <f>0</f>
        <v/>
      </c>
      <c r="J30" s="38">
        <f>0</f>
        <v/>
      </c>
    </row>
    <row r="31">
      <c r="A31" s="5" t="inlineStr">
        <is>
          <t>Operating income</t>
        </is>
      </c>
      <c r="B31" s="2" t="inlineStr"/>
      <c r="C31" s="44">
        <f>C27-C28-C29+C30</f>
        <v/>
      </c>
      <c r="D31" s="44">
        <f>D27-D28-D29+D30</f>
        <v/>
      </c>
      <c r="E31" s="44">
        <f>E27-E28-E29+E30</f>
        <v/>
      </c>
      <c r="F31" s="45">
        <f>F27-F28-F29+F30</f>
        <v/>
      </c>
      <c r="G31" s="45">
        <f>G27-G28-G29+G30</f>
        <v/>
      </c>
      <c r="H31" s="45">
        <f>H27-H28-H29+H30</f>
        <v/>
      </c>
      <c r="I31" s="45">
        <f>I27-I28-I29+I30</f>
        <v/>
      </c>
      <c r="J31" s="45">
        <f>J27-J28-J29+J30</f>
        <v/>
      </c>
    </row>
    <row r="32">
      <c r="A32" s="6" t="inlineStr">
        <is>
          <t xml:space="preserve">   operating margin</t>
        </is>
      </c>
      <c r="B32" s="2" t="inlineStr"/>
      <c r="C32" s="22">
        <f>C31/C24</f>
        <v/>
      </c>
      <c r="D32" s="22">
        <f>D31/D24</f>
        <v/>
      </c>
      <c r="E32" s="22">
        <f>E31/E24</f>
        <v/>
      </c>
      <c r="F32" s="39">
        <f>F31/F24</f>
        <v/>
      </c>
      <c r="G32" s="39">
        <f>G31/G24</f>
        <v/>
      </c>
      <c r="H32" s="39">
        <f>H31/H24</f>
        <v/>
      </c>
      <c r="I32" s="39">
        <f>I31/I24</f>
        <v/>
      </c>
      <c r="J32" s="39">
        <f>J31/J24</f>
        <v/>
      </c>
    </row>
    <row r="33">
      <c r="A33" s="6" t="inlineStr">
        <is>
          <t>Financial income</t>
        </is>
      </c>
      <c r="B33" s="2" t="inlineStr">
        <is>
          <t>% of opening cash</t>
        </is>
      </c>
      <c r="C33" s="37">
        <f>Historical!$D$20</f>
        <v/>
      </c>
      <c r="D33" s="37">
        <f>Historical!$E$20</f>
        <v/>
      </c>
      <c r="E33" s="37">
        <f>Historical!$F$20</f>
        <v/>
      </c>
      <c r="F33" s="38">
        <f>Assumptions!$E$29*E42</f>
        <v/>
      </c>
      <c r="G33" s="38">
        <f>Assumptions!$E$29*F42</f>
        <v/>
      </c>
      <c r="H33" s="38">
        <f>Assumptions!$E$29*G42</f>
        <v/>
      </c>
      <c r="I33" s="38">
        <f>Assumptions!$E$29*H42</f>
        <v/>
      </c>
      <c r="J33" s="38">
        <f>Assumptions!$E$29*I42</f>
        <v/>
      </c>
    </row>
    <row r="34">
      <c r="A34" s="6" t="inlineStr">
        <is>
          <t>Financial expenses</t>
        </is>
      </c>
      <c r="B34" s="2" t="inlineStr">
        <is>
          <t>% of opening debt</t>
        </is>
      </c>
      <c r="C34" s="37">
        <f>Historical!$D$21</f>
        <v/>
      </c>
      <c r="D34" s="37">
        <f>Historical!$E$21</f>
        <v/>
      </c>
      <c r="E34" s="37">
        <f>Historical!$F$21</f>
        <v/>
      </c>
      <c r="F34" s="38">
        <f>Assumptions!$E$30*(E53+E54)</f>
        <v/>
      </c>
      <c r="G34" s="38">
        <f>Assumptions!$E$30*(F53+F54)</f>
        <v/>
      </c>
      <c r="H34" s="38">
        <f>Assumptions!$E$30*(G53+G54)</f>
        <v/>
      </c>
      <c r="I34" s="38">
        <f>Assumptions!$E$30*(H53+H54)</f>
        <v/>
      </c>
      <c r="J34" s="38">
        <f>Assumptions!$E$30*(I53+I54)</f>
        <v/>
      </c>
    </row>
    <row r="35">
      <c r="A35" s="6" t="inlineStr">
        <is>
          <t>Income before income taxes</t>
        </is>
      </c>
      <c r="B35" s="2" t="inlineStr"/>
      <c r="C35" s="40">
        <f>C31+C33-C34</f>
        <v/>
      </c>
      <c r="D35" s="40">
        <f>D31+D33-D34</f>
        <v/>
      </c>
      <c r="E35" s="40">
        <f>E31+E33-E34</f>
        <v/>
      </c>
      <c r="F35" s="41">
        <f>F31+F33-F34</f>
        <v/>
      </c>
      <c r="G35" s="41">
        <f>G31+G33-G34</f>
        <v/>
      </c>
      <c r="H35" s="41">
        <f>H31+H33-H34</f>
        <v/>
      </c>
      <c r="I35" s="41">
        <f>I31+I33-I34</f>
        <v/>
      </c>
      <c r="J35" s="41">
        <f>J31+J33-J34</f>
        <v/>
      </c>
    </row>
    <row r="36">
      <c r="A36" s="6" t="inlineStr">
        <is>
          <t>Income taxes</t>
        </is>
      </c>
      <c r="B36" s="2" t="inlineStr">
        <is>
          <t>% of pre-tax income</t>
        </is>
      </c>
      <c r="C36" s="37">
        <f>Historical!$D$23</f>
        <v/>
      </c>
      <c r="D36" s="37">
        <f>Historical!$E$23</f>
        <v/>
      </c>
      <c r="E36" s="37">
        <f>Historical!$F$23</f>
        <v/>
      </c>
      <c r="F36" s="38">
        <f>Assumptions!$E$21*F35</f>
        <v/>
      </c>
      <c r="G36" s="38">
        <f>Assumptions!$E$21*G35</f>
        <v/>
      </c>
      <c r="H36" s="38">
        <f>Assumptions!$E$21*H35</f>
        <v/>
      </c>
      <c r="I36" s="38">
        <f>Assumptions!$E$21*I35</f>
        <v/>
      </c>
      <c r="J36" s="38">
        <f>Assumptions!$E$21*J35</f>
        <v/>
      </c>
    </row>
    <row r="37">
      <c r="A37" s="5" t="inlineStr">
        <is>
          <t>Net income from continuing operations</t>
        </is>
      </c>
      <c r="B37" s="2" t="inlineStr"/>
      <c r="C37" s="44">
        <f>C35-C36</f>
        <v/>
      </c>
      <c r="D37" s="44">
        <f>D35-D36</f>
        <v/>
      </c>
      <c r="E37" s="44">
        <f>E35-E36</f>
        <v/>
      </c>
      <c r="F37" s="45">
        <f>F35-F36</f>
        <v/>
      </c>
      <c r="G37" s="45">
        <f>G35-G36</f>
        <v/>
      </c>
      <c r="H37" s="45">
        <f>H35-H36</f>
        <v/>
      </c>
      <c r="I37" s="45">
        <f>I35-I36</f>
        <v/>
      </c>
      <c r="J37" s="45">
        <f>J35-J36</f>
        <v/>
      </c>
    </row>
    <row r="38">
      <c r="A38" s="6" t="inlineStr">
        <is>
          <t>Depreciation and amortization (memo)</t>
        </is>
      </c>
      <c r="B38" s="2" t="inlineStr">
        <is>
          <t>% of sales</t>
        </is>
      </c>
      <c r="C38" s="37">
        <f>Historical!$D$27</f>
        <v/>
      </c>
      <c r="D38" s="37">
        <f>Historical!$E$27</f>
        <v/>
      </c>
      <c r="E38" s="37">
        <f>Historical!$F$27</f>
        <v/>
      </c>
      <c r="F38" s="38">
        <f>Assumptions!$E$18*F24</f>
        <v/>
      </c>
      <c r="G38" s="38">
        <f>Assumptions!$E$18*G24</f>
        <v/>
      </c>
      <c r="H38" s="38">
        <f>Assumptions!$E$18*H24</f>
        <v/>
      </c>
      <c r="I38" s="38">
        <f>Assumptions!$E$18*I24</f>
        <v/>
      </c>
      <c r="J38" s="38">
        <f>Assumptions!$E$18*J24</f>
        <v/>
      </c>
    </row>
    <row r="39">
      <c r="A39" s="6" t="inlineStr">
        <is>
          <t>EBITDA</t>
        </is>
      </c>
      <c r="B39" s="2" t="inlineStr"/>
      <c r="C39" s="25">
        <f>C31+C38</f>
        <v/>
      </c>
      <c r="D39" s="25">
        <f>D31+D38</f>
        <v/>
      </c>
      <c r="E39" s="25">
        <f>E31+E38</f>
        <v/>
      </c>
      <c r="F39" s="38">
        <f>F31+F38</f>
        <v/>
      </c>
      <c r="G39" s="38">
        <f>G31+G38</f>
        <v/>
      </c>
      <c r="H39" s="38">
        <f>H31+H38</f>
        <v/>
      </c>
      <c r="I39" s="38">
        <f>I31+I38</f>
        <v/>
      </c>
      <c r="J39" s="38">
        <f>J31+J38</f>
        <v/>
      </c>
    </row>
    <row r="41">
      <c r="A41" s="3" t="inlineStr">
        <is>
          <t>BALANCE SHEET (March 31 following the fiscal year)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6" t="inlineStr">
        <is>
          <t>Cash and cash equivalents</t>
        </is>
      </c>
      <c r="B42" s="2" t="inlineStr">
        <is>
          <t>from cash flow</t>
        </is>
      </c>
      <c r="D42" s="37">
        <f>Historical!$E$30</f>
        <v/>
      </c>
      <c r="E42" s="37">
        <f>Historical!$F$30</f>
        <v/>
      </c>
      <c r="F42" s="38">
        <f>F78</f>
        <v/>
      </c>
      <c r="G42" s="38">
        <f>G78</f>
        <v/>
      </c>
      <c r="H42" s="38">
        <f>H78</f>
        <v/>
      </c>
      <c r="I42" s="38">
        <f>I78</f>
        <v/>
      </c>
      <c r="J42" s="38">
        <f>J78</f>
        <v/>
      </c>
    </row>
    <row r="43">
      <c r="A43" s="6" t="inlineStr">
        <is>
          <t>Trade and other receivables</t>
        </is>
      </c>
      <c r="B43" s="2" t="inlineStr">
        <is>
          <t>days of sales</t>
        </is>
      </c>
      <c r="D43" s="37">
        <f>Historical!$E$32</f>
        <v/>
      </c>
      <c r="E43" s="37">
        <f>Historical!$F$32</f>
        <v/>
      </c>
      <c r="F43" s="38">
        <f>Assumptions!$E$23/365*F24</f>
        <v/>
      </c>
      <c r="G43" s="38">
        <f>Assumptions!$E$23/365*G24</f>
        <v/>
      </c>
      <c r="H43" s="38">
        <f>Assumptions!$E$23/365*H24</f>
        <v/>
      </c>
      <c r="I43" s="38">
        <f>Assumptions!$E$23/365*I24</f>
        <v/>
      </c>
      <c r="J43" s="38">
        <f>Assumptions!$E$23/365*J24</f>
        <v/>
      </c>
    </row>
    <row r="44">
      <c r="A44" s="6" t="inlineStr">
        <is>
          <t>Inventories</t>
        </is>
      </c>
      <c r="B44" s="2" t="inlineStr">
        <is>
          <t>days of cost of sales</t>
        </is>
      </c>
      <c r="D44" s="37">
        <f>Historical!$E$33</f>
        <v/>
      </c>
      <c r="E44" s="37">
        <f>Historical!$F$33</f>
        <v/>
      </c>
      <c r="F44" s="38">
        <f>Assumptions!$E$24/365*F26</f>
        <v/>
      </c>
      <c r="G44" s="38">
        <f>Assumptions!$E$24/365*G26</f>
        <v/>
      </c>
      <c r="H44" s="38">
        <f>Assumptions!$E$24/365*H26</f>
        <v/>
      </c>
      <c r="I44" s="38">
        <f>Assumptions!$E$24/365*I26</f>
        <v/>
      </c>
      <c r="J44" s="38">
        <f>Assumptions!$E$24/365*J26</f>
        <v/>
      </c>
    </row>
    <row r="45">
      <c r="A45" s="6" t="inlineStr">
        <is>
          <t>Other current assets</t>
        </is>
      </c>
      <c r="B45" s="2" t="inlineStr">
        <is>
          <t>% of sales</t>
        </is>
      </c>
      <c r="D45" s="25">
        <f>Historical!$E$34+Historical!$E$35</f>
        <v/>
      </c>
      <c r="E45" s="25">
        <f>Historical!$F$34+Historical!$F$35</f>
        <v/>
      </c>
      <c r="F45" s="38">
        <f>Assumptions!$E$26*F24</f>
        <v/>
      </c>
      <c r="G45" s="38">
        <f>Assumptions!$E$26*G24</f>
        <v/>
      </c>
      <c r="H45" s="38">
        <f>Assumptions!$E$26*H24</f>
        <v/>
      </c>
      <c r="I45" s="38">
        <f>Assumptions!$E$26*I24</f>
        <v/>
      </c>
      <c r="J45" s="38">
        <f>Assumptions!$E$26*J24</f>
        <v/>
      </c>
    </row>
    <row r="46">
      <c r="A46" s="6" t="inlineStr">
        <is>
          <t>Financial Services assets (discontinued)</t>
        </is>
      </c>
      <c r="B46" s="2" t="inlineStr">
        <is>
          <t>spun off</t>
        </is>
      </c>
      <c r="D46" s="25">
        <f>Historical!$E$31+Historical!$E$38</f>
        <v/>
      </c>
      <c r="E46" s="25">
        <f>Historical!$F$31+Historical!$F$38</f>
        <v/>
      </c>
      <c r="F46" s="38">
        <f>0</f>
        <v/>
      </c>
      <c r="G46" s="38">
        <f>0</f>
        <v/>
      </c>
      <c r="H46" s="38">
        <f>0</f>
        <v/>
      </c>
      <c r="I46" s="38">
        <f>0</f>
        <v/>
      </c>
      <c r="J46" s="38">
        <f>0</f>
        <v/>
      </c>
    </row>
    <row r="47">
      <c r="A47" s="6" t="inlineStr">
        <is>
          <t>Operating long-term assets (PP&amp;E, right-of-use, content, intangibles)</t>
        </is>
      </c>
      <c r="B47" s="2" t="inlineStr">
        <is>
          <t>prior + investment - D&amp;A</t>
        </is>
      </c>
      <c r="D47" s="25">
        <f>Historical!$E$39+Historical!$E$40+Historical!$E$42+Historical!$E$43</f>
        <v/>
      </c>
      <c r="E47" s="25">
        <f>Historical!$F$39+Historical!$F$40+Historical!$F$42+Historical!$F$43</f>
        <v/>
      </c>
      <c r="F47" s="38">
        <f>E47-F72-F65-F38</f>
        <v/>
      </c>
      <c r="G47" s="38">
        <f>F47-G72-G65-G38</f>
        <v/>
      </c>
      <c r="H47" s="38">
        <f>G47-H72-H65-H38</f>
        <v/>
      </c>
      <c r="I47" s="38">
        <f>H47-I72-I65-I38</f>
        <v/>
      </c>
      <c r="J47" s="38">
        <f>I47-J72-J65-J38</f>
        <v/>
      </c>
    </row>
    <row r="48">
      <c r="A48" s="6" t="inlineStr">
        <is>
          <t>Goodwill</t>
        </is>
      </c>
      <c r="B48" s="2" t="inlineStr">
        <is>
          <t>held flat</t>
        </is>
      </c>
      <c r="D48" s="37">
        <f>Historical!$E$41</f>
        <v/>
      </c>
      <c r="E48" s="37">
        <f>Historical!$F$41</f>
        <v/>
      </c>
      <c r="F48" s="38">
        <f>E48</f>
        <v/>
      </c>
      <c r="G48" s="38">
        <f>F48</f>
        <v/>
      </c>
      <c r="H48" s="38">
        <f>G48</f>
        <v/>
      </c>
      <c r="I48" s="38">
        <f>H48</f>
        <v/>
      </c>
      <c r="J48" s="38">
        <f>I48</f>
        <v/>
      </c>
    </row>
    <row r="49">
      <c r="A49" s="6" t="inlineStr">
        <is>
          <t>Other non-current assets (investments, deferred tax, other)</t>
        </is>
      </c>
      <c r="B49" s="2" t="inlineStr">
        <is>
          <t>held flat</t>
        </is>
      </c>
      <c r="D49" s="25">
        <f>Historical!$E$37+Historical!$E$44+Historical!$E$45+Historical!$E$46</f>
        <v/>
      </c>
      <c r="E49" s="25">
        <f>Historical!$F$37+Historical!$F$44+Historical!$F$45+Historical!$F$46</f>
        <v/>
      </c>
      <c r="F49" s="38">
        <f>E49</f>
        <v/>
      </c>
      <c r="G49" s="38">
        <f>F49</f>
        <v/>
      </c>
      <c r="H49" s="38">
        <f>G49</f>
        <v/>
      </c>
      <c r="I49" s="38">
        <f>H49</f>
        <v/>
      </c>
      <c r="J49" s="38">
        <f>I49</f>
        <v/>
      </c>
    </row>
    <row r="50">
      <c r="A50" s="5" t="inlineStr">
        <is>
          <t>Total assets</t>
        </is>
      </c>
      <c r="B50" s="2" t="inlineStr"/>
      <c r="D50" s="44">
        <f>D42+D43+D44+D45+D46+D47+D48+D49</f>
        <v/>
      </c>
      <c r="E50" s="44">
        <f>E42+E43+E44+E45+E46+E47+E48+E49</f>
        <v/>
      </c>
      <c r="F50" s="45">
        <f>F42+F43+F44+F45+F46+F47+F48+F49</f>
        <v/>
      </c>
      <c r="G50" s="45">
        <f>G42+G43+G44+G45+G46+G47+G48+G49</f>
        <v/>
      </c>
      <c r="H50" s="45">
        <f>H42+H43+H44+H45+H46+H47+H48+H49</f>
        <v/>
      </c>
      <c r="I50" s="45">
        <f>I42+I43+I44+I45+I46+I47+I48+I49</f>
        <v/>
      </c>
      <c r="J50" s="45">
        <f>J42+J43+J44+J45+J46+J47+J48+J49</f>
        <v/>
      </c>
    </row>
    <row r="51">
      <c r="A51" s="6" t="inlineStr">
        <is>
          <t>Trade and other payables</t>
        </is>
      </c>
      <c r="B51" s="2" t="inlineStr">
        <is>
          <t>days of cost of sales</t>
        </is>
      </c>
      <c r="D51" s="37">
        <f>Historical!$E$52</f>
        <v/>
      </c>
      <c r="E51" s="37">
        <f>Historical!$F$52</f>
        <v/>
      </c>
      <c r="F51" s="38">
        <f>Assumptions!$E$25/365*F26</f>
        <v/>
      </c>
      <c r="G51" s="38">
        <f>Assumptions!$E$25/365*G26</f>
        <v/>
      </c>
      <c r="H51" s="38">
        <f>Assumptions!$E$25/365*H26</f>
        <v/>
      </c>
      <c r="I51" s="38">
        <f>Assumptions!$E$25/365*I26</f>
        <v/>
      </c>
      <c r="J51" s="38">
        <f>Assumptions!$E$25/365*J26</f>
        <v/>
      </c>
    </row>
    <row r="52">
      <c r="A52" s="6" t="inlineStr">
        <is>
          <t>Other current liabilities</t>
        </is>
      </c>
      <c r="B52" s="2" t="inlineStr">
        <is>
          <t>% of sales</t>
        </is>
      </c>
      <c r="D52" s="25">
        <f>Historical!$E$54+Historical!$E$55+Historical!$E$56+Historical!$E$57+Historical!$E$58</f>
        <v/>
      </c>
      <c r="E52" s="25">
        <f>Historical!$F$54+Historical!$F$55+Historical!$F$56+Historical!$F$57+Historical!$F$58</f>
        <v/>
      </c>
      <c r="F52" s="38">
        <f>Assumptions!$E$27*F24</f>
        <v/>
      </c>
      <c r="G52" s="38">
        <f>Assumptions!$E$27*G24</f>
        <v/>
      </c>
      <c r="H52" s="38">
        <f>Assumptions!$E$27*H24</f>
        <v/>
      </c>
      <c r="I52" s="38">
        <f>Assumptions!$E$27*I24</f>
        <v/>
      </c>
      <c r="J52" s="38">
        <f>Assumptions!$E$27*J24</f>
        <v/>
      </c>
    </row>
    <row r="53">
      <c r="A53" s="6" t="inlineStr">
        <is>
          <t>Borrowings</t>
        </is>
      </c>
      <c r="B53" s="2" t="inlineStr">
        <is>
          <t>prior + net new borrowing</t>
        </is>
      </c>
      <c r="D53" s="25">
        <f>Historical!$E$49+Historical!$E$51+Historical!$E$60</f>
        <v/>
      </c>
      <c r="E53" s="25">
        <f>Historical!$F$49+Historical!$F$51+Historical!$F$60</f>
        <v/>
      </c>
      <c r="F53" s="38">
        <f>E53+Assumptions!$E$33</f>
        <v/>
      </c>
      <c r="G53" s="38">
        <f>F53+Assumptions!$E$33</f>
        <v/>
      </c>
      <c r="H53" s="38">
        <f>G53+Assumptions!$E$33</f>
        <v/>
      </c>
      <c r="I53" s="38">
        <f>H53+Assumptions!$E$33</f>
        <v/>
      </c>
      <c r="J53" s="38">
        <f>I53+Assumptions!$E$33</f>
        <v/>
      </c>
    </row>
    <row r="54">
      <c r="A54" s="6" t="inlineStr">
        <is>
          <t>Lease liabilities</t>
        </is>
      </c>
      <c r="B54" s="2" t="inlineStr">
        <is>
          <t>held flat</t>
        </is>
      </c>
      <c r="D54" s="25">
        <f>Historical!$E$50+Historical!$E$61</f>
        <v/>
      </c>
      <c r="E54" s="25">
        <f>Historical!$F$50+Historical!$F$61</f>
        <v/>
      </c>
      <c r="F54" s="38">
        <f>E54</f>
        <v/>
      </c>
      <c r="G54" s="38">
        <f>F54</f>
        <v/>
      </c>
      <c r="H54" s="38">
        <f>G54</f>
        <v/>
      </c>
      <c r="I54" s="38">
        <f>H54</f>
        <v/>
      </c>
      <c r="J54" s="38">
        <f>I54</f>
        <v/>
      </c>
    </row>
    <row r="55">
      <c r="A55" s="6" t="inlineStr">
        <is>
          <t>Financial Services liabilities (discontinued)</t>
        </is>
      </c>
      <c r="B55" s="2" t="inlineStr">
        <is>
          <t>spun off</t>
        </is>
      </c>
      <c r="D55" s="25">
        <f>Historical!$E$53+Historical!$E$64</f>
        <v/>
      </c>
      <c r="E55" s="25">
        <f>Historical!$F$53+Historical!$F$64</f>
        <v/>
      </c>
      <c r="F55" s="38">
        <f>0</f>
        <v/>
      </c>
      <c r="G55" s="38">
        <f>0</f>
        <v/>
      </c>
      <c r="H55" s="38">
        <f>0</f>
        <v/>
      </c>
      <c r="I55" s="38">
        <f>0</f>
        <v/>
      </c>
      <c r="J55" s="38">
        <f>0</f>
        <v/>
      </c>
    </row>
    <row r="56">
      <c r="A56" s="6" t="inlineStr">
        <is>
          <t>Other non-current liabilities</t>
        </is>
      </c>
      <c r="B56" s="2" t="inlineStr">
        <is>
          <t>held flat</t>
        </is>
      </c>
      <c r="D56" s="25">
        <f>Historical!$E$62+Historical!$E$63+Historical!$E$65+Historical!$E$66+Historical!$E$67</f>
        <v/>
      </c>
      <c r="E56" s="25">
        <f>Historical!$F$62+Historical!$F$63+Historical!$F$65+Historical!$F$66+Historical!$F$67</f>
        <v/>
      </c>
      <c r="F56" s="38">
        <f>E56</f>
        <v/>
      </c>
      <c r="G56" s="38">
        <f>F56</f>
        <v/>
      </c>
      <c r="H56" s="38">
        <f>G56</f>
        <v/>
      </c>
      <c r="I56" s="38">
        <f>H56</f>
        <v/>
      </c>
      <c r="J56" s="38">
        <f>I56</f>
        <v/>
      </c>
    </row>
    <row r="57">
      <c r="A57" s="6" t="inlineStr">
        <is>
          <t>Total liabilities</t>
        </is>
      </c>
      <c r="B57" s="2" t="inlineStr"/>
      <c r="D57" s="40">
        <f>D51+D52+D53+D54+D55+D56</f>
        <v/>
      </c>
      <c r="E57" s="40">
        <f>E51+E52+E53+E54+E55+E56</f>
        <v/>
      </c>
      <c r="F57" s="41">
        <f>F51+F52+F53+F54+F55+F56</f>
        <v/>
      </c>
      <c r="G57" s="41">
        <f>G51+G52+G53+G54+G55+G56</f>
        <v/>
      </c>
      <c r="H57" s="41">
        <f>H51+H52+H53+H54+H55+H56</f>
        <v/>
      </c>
      <c r="I57" s="41">
        <f>I51+I52+I53+I54+I55+I56</f>
        <v/>
      </c>
      <c r="J57" s="41">
        <f>J51+J52+J53+J54+J55+J56</f>
        <v/>
      </c>
    </row>
    <row r="58">
      <c r="A58" s="6" t="inlineStr">
        <is>
          <t>Total equity</t>
        </is>
      </c>
      <c r="B58" s="2" t="inlineStr">
        <is>
          <t>prior + income - payouts</t>
        </is>
      </c>
      <c r="D58" s="37">
        <f>Historical!$E$72</f>
        <v/>
      </c>
      <c r="E58" s="37">
        <f>Historical!$F$72</f>
        <v/>
      </c>
      <c r="F58" s="38">
        <f>E58+F37+F74+F75</f>
        <v/>
      </c>
      <c r="G58" s="38">
        <f>F58+G37+G74+G75</f>
        <v/>
      </c>
      <c r="H58" s="38">
        <f>G58+H37+H74+H75</f>
        <v/>
      </c>
      <c r="I58" s="38">
        <f>H58+I37+I74+I75</f>
        <v/>
      </c>
      <c r="J58" s="38">
        <f>I58+J37+J74+J75</f>
        <v/>
      </c>
    </row>
    <row r="59">
      <c r="A59" s="5" t="inlineStr">
        <is>
          <t>Total liabilities and equity</t>
        </is>
      </c>
      <c r="B59" s="2" t="inlineStr"/>
      <c r="D59" s="44">
        <f>D57+D58</f>
        <v/>
      </c>
      <c r="E59" s="44">
        <f>E57+E58</f>
        <v/>
      </c>
      <c r="F59" s="45">
        <f>F57+F58</f>
        <v/>
      </c>
      <c r="G59" s="45">
        <f>G57+G58</f>
        <v/>
      </c>
      <c r="H59" s="45">
        <f>H57+H58</f>
        <v/>
      </c>
      <c r="I59" s="45">
        <f>I57+I58</f>
        <v/>
      </c>
      <c r="J59" s="45">
        <f>J57+J58</f>
        <v/>
      </c>
    </row>
    <row r="60">
      <c r="A60" s="6" t="inlineStr">
        <is>
          <t>Balance check (assets less liabilities and equity; must be zero)</t>
        </is>
      </c>
      <c r="B60" s="2" t="inlineStr"/>
      <c r="D60" s="25">
        <f>D50-D59</f>
        <v/>
      </c>
      <c r="E60" s="25">
        <f>E50-E59</f>
        <v/>
      </c>
      <c r="F60" s="38">
        <f>ROUND(F50-F59,0)</f>
        <v/>
      </c>
      <c r="G60" s="38">
        <f>ROUND(G50-G59,0)</f>
        <v/>
      </c>
      <c r="H60" s="38">
        <f>ROUND(H50-H59,0)</f>
        <v/>
      </c>
      <c r="I60" s="38">
        <f>ROUND(I50-I59,0)</f>
        <v/>
      </c>
      <c r="J60" s="38">
        <f>ROUND(J50-J59,0)</f>
        <v/>
      </c>
    </row>
    <row r="62">
      <c r="A62" s="3" t="inlineStr">
        <is>
          <t>CASH FLOW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6" t="inlineStr">
        <is>
          <t>Net income from continuing operations</t>
        </is>
      </c>
      <c r="B63" s="2" t="inlineStr"/>
      <c r="F63" s="38">
        <f>F37</f>
        <v/>
      </c>
      <c r="G63" s="38">
        <f>G37</f>
        <v/>
      </c>
      <c r="H63" s="38">
        <f>H37</f>
        <v/>
      </c>
      <c r="I63" s="38">
        <f>I37</f>
        <v/>
      </c>
      <c r="J63" s="38">
        <f>J37</f>
        <v/>
      </c>
    </row>
    <row r="64">
      <c r="A64" s="6" t="inlineStr">
        <is>
          <t>Depreciation and amortization</t>
        </is>
      </c>
      <c r="B64" s="2" t="inlineStr"/>
      <c r="F64" s="38">
        <f>F38</f>
        <v/>
      </c>
      <c r="G64" s="38">
        <f>G38</f>
        <v/>
      </c>
      <c r="H64" s="38">
        <f>H38</f>
        <v/>
      </c>
      <c r="I64" s="38">
        <f>I38</f>
        <v/>
      </c>
      <c r="J64" s="38">
        <f>J38</f>
        <v/>
      </c>
    </row>
    <row r="65">
      <c r="A65" s="6" t="inlineStr">
        <is>
          <t>Investment in content assets</t>
        </is>
      </c>
      <c r="B65" s="2" t="inlineStr">
        <is>
          <t>% of sales</t>
        </is>
      </c>
      <c r="C65" s="37">
        <f>Historical!$D$77</f>
        <v/>
      </c>
      <c r="D65" s="37">
        <f>Historical!$E$77</f>
        <v/>
      </c>
      <c r="E65" s="37">
        <f>Historical!$F$77</f>
        <v/>
      </c>
      <c r="F65" s="38">
        <f>-Assumptions!$E$20*F24</f>
        <v/>
      </c>
      <c r="G65" s="38">
        <f>-Assumptions!$E$20*G24</f>
        <v/>
      </c>
      <c r="H65" s="38">
        <f>-Assumptions!$E$20*H24</f>
        <v/>
      </c>
      <c r="I65" s="38">
        <f>-Assumptions!$E$20*I24</f>
        <v/>
      </c>
      <c r="J65" s="38">
        <f>-Assumptions!$E$20*J24</f>
        <v/>
      </c>
    </row>
    <row r="66">
      <c r="A66" s="6" t="inlineStr">
        <is>
          <t>(Increase) decrease in receivables</t>
        </is>
      </c>
      <c r="B66" s="2" t="inlineStr"/>
      <c r="F66" s="38">
        <f>E43-F43</f>
        <v/>
      </c>
      <c r="G66" s="38">
        <f>F43-G43</f>
        <v/>
      </c>
      <c r="H66" s="38">
        <f>G43-H43</f>
        <v/>
      </c>
      <c r="I66" s="38">
        <f>H43-I43</f>
        <v/>
      </c>
      <c r="J66" s="38">
        <f>I43-J43</f>
        <v/>
      </c>
    </row>
    <row r="67">
      <c r="A67" s="6" t="inlineStr">
        <is>
          <t>(Increase) decrease in inventories</t>
        </is>
      </c>
      <c r="B67" s="2" t="inlineStr"/>
      <c r="F67" s="38">
        <f>E44-F44</f>
        <v/>
      </c>
      <c r="G67" s="38">
        <f>F44-G44</f>
        <v/>
      </c>
      <c r="H67" s="38">
        <f>G44-H44</f>
        <v/>
      </c>
      <c r="I67" s="38">
        <f>H44-I44</f>
        <v/>
      </c>
      <c r="J67" s="38">
        <f>I44-J44</f>
        <v/>
      </c>
    </row>
    <row r="68">
      <c r="A68" s="6" t="inlineStr">
        <is>
          <t>(Increase) decrease in other current assets</t>
        </is>
      </c>
      <c r="B68" s="2" t="inlineStr"/>
      <c r="F68" s="38">
        <f>E45-F45</f>
        <v/>
      </c>
      <c r="G68" s="38">
        <f>F45-G45</f>
        <v/>
      </c>
      <c r="H68" s="38">
        <f>G45-H45</f>
        <v/>
      </c>
      <c r="I68" s="38">
        <f>H45-I45</f>
        <v/>
      </c>
      <c r="J68" s="38">
        <f>I45-J45</f>
        <v/>
      </c>
    </row>
    <row r="69">
      <c r="A69" s="6" t="inlineStr">
        <is>
          <t>Increase (decrease) in payables</t>
        </is>
      </c>
      <c r="B69" s="2" t="inlineStr"/>
      <c r="F69" s="38">
        <f>F51-E51</f>
        <v/>
      </c>
      <c r="G69" s="38">
        <f>G51-F51</f>
        <v/>
      </c>
      <c r="H69" s="38">
        <f>H51-G51</f>
        <v/>
      </c>
      <c r="I69" s="38">
        <f>I51-H51</f>
        <v/>
      </c>
      <c r="J69" s="38">
        <f>J51-I51</f>
        <v/>
      </c>
    </row>
    <row r="70">
      <c r="A70" s="6" t="inlineStr">
        <is>
          <t>Increase (decrease) in other current liabilities</t>
        </is>
      </c>
      <c r="B70" s="2" t="inlineStr"/>
      <c r="F70" s="38">
        <f>F52-E52</f>
        <v/>
      </c>
      <c r="G70" s="38">
        <f>G52-F52</f>
        <v/>
      </c>
      <c r="H70" s="38">
        <f>H52-G52</f>
        <v/>
      </c>
      <c r="I70" s="38">
        <f>I52-H52</f>
        <v/>
      </c>
      <c r="J70" s="38">
        <f>J52-I52</f>
        <v/>
      </c>
    </row>
    <row r="71">
      <c r="A71" s="5" t="inlineStr">
        <is>
          <t>Cash from operating activities</t>
        </is>
      </c>
      <c r="B71" s="2" t="inlineStr"/>
      <c r="C71" s="46">
        <f>Historical!$D$76</f>
        <v/>
      </c>
      <c r="D71" s="46">
        <f>Historical!$E$76</f>
        <v/>
      </c>
      <c r="E71" s="46">
        <f>Historical!$F$76</f>
        <v/>
      </c>
      <c r="F71" s="45">
        <f>F63+F64+F65+F66+F67+F68+F69+F70</f>
        <v/>
      </c>
      <c r="G71" s="45">
        <f>G63+G64+G65+G66+G67+G68+G69+G70</f>
        <v/>
      </c>
      <c r="H71" s="45">
        <f>H63+H64+H65+H66+H67+H68+H69+H70</f>
        <v/>
      </c>
      <c r="I71" s="45">
        <f>I63+I64+I65+I66+I67+I68+I69+I70</f>
        <v/>
      </c>
      <c r="J71" s="45">
        <f>J63+J64+J65+J66+J67+J68+J69+J70</f>
        <v/>
      </c>
    </row>
    <row r="72">
      <c r="A72" s="6" t="inlineStr">
        <is>
          <t>Capital expenditure</t>
        </is>
      </c>
      <c r="B72" s="2" t="inlineStr">
        <is>
          <t>% of sales</t>
        </is>
      </c>
      <c r="C72" s="37">
        <f>Historical!$D$78</f>
        <v/>
      </c>
      <c r="D72" s="37">
        <f>Historical!$E$78</f>
        <v/>
      </c>
      <c r="E72" s="37">
        <f>Historical!$F$78</f>
        <v/>
      </c>
      <c r="F72" s="38">
        <f>-Assumptions!$E$19*F24</f>
        <v/>
      </c>
      <c r="G72" s="38">
        <f>-Assumptions!$E$19*G24</f>
        <v/>
      </c>
      <c r="H72" s="38">
        <f>-Assumptions!$E$19*H24</f>
        <v/>
      </c>
      <c r="I72" s="38">
        <f>-Assumptions!$E$19*I24</f>
        <v/>
      </c>
      <c r="J72" s="38">
        <f>-Assumptions!$E$19*J24</f>
        <v/>
      </c>
    </row>
    <row r="73">
      <c r="A73" s="6" t="inlineStr">
        <is>
          <t>Net new borrowing</t>
        </is>
      </c>
      <c r="B73" s="2" t="inlineStr"/>
      <c r="F73" s="47">
        <f>Assumptions!$E$33</f>
        <v/>
      </c>
      <c r="G73" s="47">
        <f>Assumptions!$E$33</f>
        <v/>
      </c>
      <c r="H73" s="47">
        <f>Assumptions!$E$33</f>
        <v/>
      </c>
      <c r="I73" s="47">
        <f>Assumptions!$E$33</f>
        <v/>
      </c>
      <c r="J73" s="47">
        <f>Assumptions!$E$33</f>
        <v/>
      </c>
    </row>
    <row r="74">
      <c r="A74" s="6" t="inlineStr">
        <is>
          <t>Dividends paid</t>
        </is>
      </c>
      <c r="B74" s="2" t="inlineStr">
        <is>
          <t>% of net income</t>
        </is>
      </c>
      <c r="C74" s="37">
        <f>Historical!$D$80</f>
        <v/>
      </c>
      <c r="D74" s="37">
        <f>Historical!$E$80</f>
        <v/>
      </c>
      <c r="E74" s="37">
        <f>Historical!$F$80</f>
        <v/>
      </c>
      <c r="F74" s="38">
        <f>-Assumptions!$E$31*F37</f>
        <v/>
      </c>
      <c r="G74" s="38">
        <f>-Assumptions!$E$31*G37</f>
        <v/>
      </c>
      <c r="H74" s="38">
        <f>-Assumptions!$E$31*H37</f>
        <v/>
      </c>
      <c r="I74" s="38">
        <f>-Assumptions!$E$31*I37</f>
        <v/>
      </c>
      <c r="J74" s="38">
        <f>-Assumptions!$E$31*J37</f>
        <v/>
      </c>
    </row>
    <row r="75">
      <c r="A75" s="6" t="inlineStr">
        <is>
          <t>Share repurchases</t>
        </is>
      </c>
      <c r="B75" s="2" t="inlineStr"/>
      <c r="C75" s="37">
        <f>Historical!$D$81</f>
        <v/>
      </c>
      <c r="D75" s="37">
        <f>Historical!$E$81</f>
        <v/>
      </c>
      <c r="E75" s="37">
        <f>Historical!$F$81</f>
        <v/>
      </c>
      <c r="F75" s="38">
        <f>-Assumptions!$E$32</f>
        <v/>
      </c>
      <c r="G75" s="38">
        <f>-Assumptions!$E$32</f>
        <v/>
      </c>
      <c r="H75" s="38">
        <f>-Assumptions!$E$32</f>
        <v/>
      </c>
      <c r="I75" s="38">
        <f>-Assumptions!$E$32</f>
        <v/>
      </c>
      <c r="J75" s="38">
        <f>-Assumptions!$E$32</f>
        <v/>
      </c>
    </row>
    <row r="76">
      <c r="A76" s="6" t="inlineStr">
        <is>
          <t>Net change in cash</t>
        </is>
      </c>
      <c r="B76" s="2" t="inlineStr"/>
      <c r="F76" s="41">
        <f>F71+F72+F73+F74+F75</f>
        <v/>
      </c>
      <c r="G76" s="41">
        <f>G71+G72+G73+G74+G75</f>
        <v/>
      </c>
      <c r="H76" s="41">
        <f>H71+H72+H73+H74+H75</f>
        <v/>
      </c>
      <c r="I76" s="41">
        <f>I71+I72+I73+I74+I75</f>
        <v/>
      </c>
      <c r="J76" s="41">
        <f>J71+J72+J73+J74+J75</f>
        <v/>
      </c>
    </row>
    <row r="77">
      <c r="A77" s="6" t="inlineStr">
        <is>
          <t>Cash at beginning of year</t>
        </is>
      </c>
      <c r="B77" s="2" t="inlineStr"/>
      <c r="F77" s="38">
        <f>E42</f>
        <v/>
      </c>
      <c r="G77" s="38">
        <f>F42</f>
        <v/>
      </c>
      <c r="H77" s="38">
        <f>G42</f>
        <v/>
      </c>
      <c r="I77" s="38">
        <f>H42</f>
        <v/>
      </c>
      <c r="J77" s="38">
        <f>I42</f>
        <v/>
      </c>
    </row>
    <row r="78">
      <c r="A78" s="5" t="inlineStr">
        <is>
          <t>Cash at end of year</t>
        </is>
      </c>
      <c r="B78" s="2" t="inlineStr"/>
      <c r="C78" s="42">
        <f>Historical!$D$83</f>
        <v/>
      </c>
      <c r="D78" s="42">
        <f>Historical!$E$83</f>
        <v/>
      </c>
      <c r="E78" s="42">
        <f>Historical!$F$83</f>
        <v/>
      </c>
      <c r="F78" s="43">
        <f>F77+F76</f>
        <v/>
      </c>
      <c r="G78" s="43">
        <f>G77+G76</f>
        <v/>
      </c>
      <c r="H78" s="43">
        <f>H77+H76</f>
        <v/>
      </c>
      <c r="I78" s="43">
        <f>I77+I76</f>
        <v/>
      </c>
      <c r="J78" s="43">
        <f>J77+J76</f>
        <v/>
      </c>
    </row>
    <row r="80">
      <c r="A80" s="3" t="inlineStr">
        <is>
          <t>FREE CASH FLOW AND DCF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6" t="inlineStr">
        <is>
          <t>Operating income</t>
        </is>
      </c>
      <c r="B81" s="2" t="inlineStr"/>
      <c r="F81" s="38">
        <f>F31</f>
        <v/>
      </c>
      <c r="G81" s="38">
        <f>G31</f>
        <v/>
      </c>
      <c r="H81" s="38">
        <f>H31</f>
        <v/>
      </c>
      <c r="I81" s="38">
        <f>I31</f>
        <v/>
      </c>
      <c r="J81" s="38">
        <f>J31</f>
        <v/>
      </c>
    </row>
    <row r="82">
      <c r="A82" s="6" t="inlineStr">
        <is>
          <t>Less: tax on operating income</t>
        </is>
      </c>
      <c r="B82" s="2" t="inlineStr"/>
      <c r="F82" s="38">
        <f>-Assumptions!$E$21*F31</f>
        <v/>
      </c>
      <c r="G82" s="38">
        <f>-Assumptions!$E$21*G31</f>
        <v/>
      </c>
      <c r="H82" s="38">
        <f>-Assumptions!$E$21*H31</f>
        <v/>
      </c>
      <c r="I82" s="38">
        <f>-Assumptions!$E$21*I31</f>
        <v/>
      </c>
      <c r="J82" s="38">
        <f>-Assumptions!$E$21*J31</f>
        <v/>
      </c>
    </row>
    <row r="83">
      <c r="A83" s="6" t="inlineStr">
        <is>
          <t>Net operating profit after tax</t>
        </is>
      </c>
      <c r="B83" s="2" t="inlineStr"/>
      <c r="F83" s="41">
        <f>F81+F82</f>
        <v/>
      </c>
      <c r="G83" s="41">
        <f>G81+G82</f>
        <v/>
      </c>
      <c r="H83" s="41">
        <f>H81+H82</f>
        <v/>
      </c>
      <c r="I83" s="41">
        <f>I81+I82</f>
        <v/>
      </c>
      <c r="J83" s="41">
        <f>J81+J82</f>
        <v/>
      </c>
    </row>
    <row r="84">
      <c r="A84" s="6" t="inlineStr">
        <is>
          <t>Plus: depreciation and amortization</t>
        </is>
      </c>
      <c r="B84" s="2" t="inlineStr"/>
      <c r="F84" s="38">
        <f>F38</f>
        <v/>
      </c>
      <c r="G84" s="38">
        <f>G38</f>
        <v/>
      </c>
      <c r="H84" s="38">
        <f>H38</f>
        <v/>
      </c>
      <c r="I84" s="38">
        <f>I38</f>
        <v/>
      </c>
      <c r="J84" s="38">
        <f>J38</f>
        <v/>
      </c>
    </row>
    <row r="85">
      <c r="A85" s="6" t="inlineStr">
        <is>
          <t>Less: capital expenditure</t>
        </is>
      </c>
      <c r="B85" s="2" t="inlineStr"/>
      <c r="F85" s="38">
        <f>F72</f>
        <v/>
      </c>
      <c r="G85" s="38">
        <f>G72</f>
        <v/>
      </c>
      <c r="H85" s="38">
        <f>H72</f>
        <v/>
      </c>
      <c r="I85" s="38">
        <f>I72</f>
        <v/>
      </c>
      <c r="J85" s="38">
        <f>J72</f>
        <v/>
      </c>
    </row>
    <row r="86">
      <c r="A86" s="6" t="inlineStr">
        <is>
          <t>Less: investment in content assets</t>
        </is>
      </c>
      <c r="B86" s="2" t="inlineStr"/>
      <c r="F86" s="38">
        <f>F65</f>
        <v/>
      </c>
      <c r="G86" s="38">
        <f>G65</f>
        <v/>
      </c>
      <c r="H86" s="38">
        <f>H65</f>
        <v/>
      </c>
      <c r="I86" s="38">
        <f>I65</f>
        <v/>
      </c>
      <c r="J86" s="38">
        <f>J65</f>
        <v/>
      </c>
    </row>
    <row r="87">
      <c r="A87" s="6" t="inlineStr">
        <is>
          <t>Less: increase in working capital</t>
        </is>
      </c>
      <c r="B87" s="2" t="inlineStr"/>
      <c r="F87" s="38">
        <f>F66+F67+F68+F69+F70</f>
        <v/>
      </c>
      <c r="G87" s="38">
        <f>G66+G67+G68+G69+G70</f>
        <v/>
      </c>
      <c r="H87" s="38">
        <f>H66+H67+H68+H69+H70</f>
        <v/>
      </c>
      <c r="I87" s="38">
        <f>I66+I67+I68+I69+I70</f>
        <v/>
      </c>
      <c r="J87" s="38">
        <f>J66+J67+J68+J69+J70</f>
        <v/>
      </c>
    </row>
    <row r="88">
      <c r="A88" s="5" t="inlineStr">
        <is>
          <t>Free cash flow to the firm</t>
        </is>
      </c>
      <c r="B88" s="2" t="inlineStr"/>
      <c r="F88" s="45">
        <f>F83+F84+F85+F86+F87</f>
        <v/>
      </c>
      <c r="G88" s="45">
        <f>G83+G84+G85+G86+G87</f>
        <v/>
      </c>
      <c r="H88" s="45">
        <f>H83+H84+H85+H86+H87</f>
        <v/>
      </c>
      <c r="I88" s="45">
        <f>I83+I84+I85+I86+I87</f>
        <v/>
      </c>
      <c r="J88" s="45">
        <f>J83+J84+J85+J86+J87</f>
        <v/>
      </c>
    </row>
    <row r="89">
      <c r="A89" s="6" t="inlineStr">
        <is>
          <t>Discount factor</t>
        </is>
      </c>
      <c r="B89" s="2" t="inlineStr">
        <is>
          <t>1 / (1 + WACC)^year</t>
        </is>
      </c>
      <c r="F89" s="48">
        <f>1/(1+Assumptions!$E$50)^F$5</f>
        <v/>
      </c>
      <c r="G89" s="48">
        <f>1/(1+Assumptions!$E$50)^G$5</f>
        <v/>
      </c>
      <c r="H89" s="48">
        <f>1/(1+Assumptions!$E$50)^H$5</f>
        <v/>
      </c>
      <c r="I89" s="48">
        <f>1/(1+Assumptions!$E$50)^I$5</f>
        <v/>
      </c>
      <c r="J89" s="48">
        <f>1/(1+Assumptions!$E$50)^J$5</f>
        <v/>
      </c>
    </row>
    <row r="90">
      <c r="A90" s="6" t="inlineStr">
        <is>
          <t>Present value of free cash flow</t>
        </is>
      </c>
      <c r="B90" s="2" t="inlineStr"/>
      <c r="F90" s="38">
        <f>F88*F89</f>
        <v/>
      </c>
      <c r="G90" s="38">
        <f>G88*G89</f>
        <v/>
      </c>
      <c r="H90" s="38">
        <f>H88*H89</f>
        <v/>
      </c>
      <c r="I90" s="38">
        <f>I88*I89</f>
        <v/>
      </c>
      <c r="J90" s="38">
        <f>J88*J89</f>
        <v/>
      </c>
    </row>
    <row r="92">
      <c r="A92" s="3" t="inlineStr">
        <is>
          <t>VALUATION (as of March 31, 2026)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6" t="inlineStr">
        <is>
          <t>WACC</t>
        </is>
      </c>
      <c r="C93" s="49">
        <f>Assumptions!$E$50</f>
        <v/>
      </c>
      <c r="D93" s="2" t="inlineStr"/>
    </row>
    <row r="94">
      <c r="A94" s="6" t="inlineStr">
        <is>
          <t>Terminal growth rate</t>
        </is>
      </c>
      <c r="C94" s="49">
        <f>Assumptions!$E$35</f>
        <v/>
      </c>
      <c r="D94" s="2" t="inlineStr"/>
    </row>
    <row r="95">
      <c r="A95" s="6" t="inlineStr">
        <is>
          <t>Present value of FY2026–FY2030 free cash flow</t>
        </is>
      </c>
      <c r="C95" s="25">
        <f>SUM(F90:J90)</f>
        <v/>
      </c>
      <c r="D95" s="2" t="inlineStr"/>
    </row>
    <row r="96">
      <c r="A96" s="6" t="inlineStr">
        <is>
          <t>Terminal value at FY2030</t>
        </is>
      </c>
      <c r="C96" s="25">
        <f>J88*(1+$C$94)/($C$93-$C$94)</f>
        <v/>
      </c>
      <c r="D96" s="2" t="inlineStr">
        <is>
          <t>Gordon growth: FCF x (1 + g) / (WACC - g)</t>
        </is>
      </c>
    </row>
    <row r="97">
      <c r="A97" s="6" t="inlineStr">
        <is>
          <t>Present value of terminal value</t>
        </is>
      </c>
      <c r="C97" s="25">
        <f>$C$96*J89</f>
        <v/>
      </c>
      <c r="D97" s="2" t="inlineStr"/>
    </row>
    <row r="98">
      <c r="A98" s="5" t="inlineStr">
        <is>
          <t>Enterprise value</t>
        </is>
      </c>
      <c r="C98" s="50">
        <f>$C$95+$C$97</f>
        <v/>
      </c>
      <c r="D98" s="2" t="inlineStr"/>
    </row>
    <row r="99">
      <c r="A99" s="6" t="inlineStr">
        <is>
          <t>Plus: cash and cash equivalents</t>
        </is>
      </c>
      <c r="C99" s="25">
        <f>E42</f>
        <v/>
      </c>
      <c r="D99" s="2" t="inlineStr"/>
    </row>
    <row r="100">
      <c r="A100" s="6" t="inlineStr">
        <is>
          <t>Plus: equity-method investments and other financial assets</t>
        </is>
      </c>
      <c r="C100" s="25">
        <f>Historical!$F$37+Historical!$F$34+Historical!$F$45</f>
        <v/>
      </c>
      <c r="D100" s="2" t="inlineStr">
        <is>
          <t>Book value; their income is excluded from operating income</t>
        </is>
      </c>
    </row>
    <row r="101">
      <c r="A101" s="6" t="inlineStr">
        <is>
          <t>Less: borrowings</t>
        </is>
      </c>
      <c r="C101" s="25">
        <f>-E53</f>
        <v/>
      </c>
      <c r="D101" s="2" t="inlineStr"/>
    </row>
    <row r="102">
      <c r="A102" s="6" t="inlineStr">
        <is>
          <t>Less: lease liabilities</t>
        </is>
      </c>
      <c r="C102" s="25">
        <f>-E54</f>
        <v/>
      </c>
      <c r="D102" s="2" t="inlineStr"/>
    </row>
    <row r="103">
      <c r="A103" s="6" t="inlineStr">
        <is>
          <t>Less: defined benefit liabilities</t>
        </is>
      </c>
      <c r="C103" s="25">
        <f>-Historical!$F$62</f>
        <v/>
      </c>
      <c r="D103" s="2" t="inlineStr"/>
    </row>
    <row r="104">
      <c r="A104" s="6" t="inlineStr">
        <is>
          <t>Less: noncontrolling interests</t>
        </is>
      </c>
      <c r="C104" s="25">
        <f>-Historical!$F$71</f>
        <v/>
      </c>
      <c r="D104" s="2" t="inlineStr">
        <is>
          <t>Book value</t>
        </is>
      </c>
    </row>
    <row r="105">
      <c r="A105" s="6" t="inlineStr">
        <is>
          <t>Net non-operating items</t>
        </is>
      </c>
      <c r="C105" s="25">
        <f>$C$99+$C$100+$C$101+$C$102+$C$103+$C$104</f>
        <v/>
      </c>
      <c r="D105" s="2" t="inlineStr"/>
    </row>
    <row r="106">
      <c r="A106" s="5" t="inlineStr">
        <is>
          <t>Equity value</t>
        </is>
      </c>
      <c r="C106" s="50">
        <f>$C$98+$C$105</f>
        <v/>
      </c>
      <c r="D106" s="2" t="inlineStr"/>
    </row>
    <row r="107">
      <c r="A107" s="5" t="inlineStr">
        <is>
          <t>Value per share (¥)</t>
        </is>
      </c>
      <c r="C107" s="51">
        <f>$C$106*1000000/Assumptions!$E$42</f>
        <v/>
      </c>
      <c r="D107" s="2" t="inlineStr"/>
    </row>
    <row r="108">
      <c r="A108" s="5" t="inlineStr">
        <is>
          <t>Value per ADR (US$)</t>
        </is>
      </c>
      <c r="C108" s="52">
        <f>$C$107/Assumptions!$E$41</f>
        <v/>
      </c>
      <c r="D108" s="2" t="inlineStr"/>
    </row>
    <row r="109">
      <c r="A109" s="6" t="inlineStr">
        <is>
          <t>Market price per share (¥)</t>
        </is>
      </c>
      <c r="C109" s="53">
        <f>Assumptions!$E$43</f>
        <v/>
      </c>
      <c r="D109" s="2" t="inlineStr"/>
    </row>
    <row r="110">
      <c r="A110" s="5" t="inlineStr">
        <is>
          <t>Value versus market price</t>
        </is>
      </c>
      <c r="C110" s="54">
        <f>$C$107/$C$109-1</f>
        <v/>
      </c>
      <c r="D110" s="2" t="inlineStr"/>
    </row>
    <row r="111">
      <c r="A111" s="6" t="inlineStr">
        <is>
          <t>Terminal value as share of enterprise value</t>
        </is>
      </c>
      <c r="C111" s="55">
        <f>$C$97/$C$98</f>
        <v/>
      </c>
      <c r="D111" s="2" t="inlineStr"/>
    </row>
    <row r="112">
      <c r="A112" s="6" t="inlineStr">
        <is>
          <t>Implied EV / FY2025 EBITDA</t>
        </is>
      </c>
      <c r="C112" s="56">
        <f>$C$98/E39</f>
        <v/>
      </c>
      <c r="D11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Scenario comparison and sensitivity</t>
        </is>
      </c>
    </row>
    <row r="2">
      <c r="A2" s="2" t="inlineStr">
        <is>
          <t>Every figure links to the Base, Upside and Downside sheets; change an assumption and this page updates.</t>
        </is>
      </c>
    </row>
    <row r="4">
      <c r="A4" s="18" t="inlineStr">
        <is>
          <t>¥ millions unless stated</t>
        </is>
      </c>
      <c r="B4" s="12" t="inlineStr">
        <is>
          <t>Base</t>
        </is>
      </c>
      <c r="C4" s="12" t="inlineStr">
        <is>
          <t>Upside</t>
        </is>
      </c>
      <c r="D4" s="12" t="inlineStr">
        <is>
          <t>Downside</t>
        </is>
      </c>
    </row>
    <row r="5">
      <c r="A5" s="6" t="inlineStr">
        <is>
          <t>Growth adjustment (points per year)</t>
        </is>
      </c>
      <c r="B5" s="57">
        <f>Assumptions!$C$12</f>
        <v/>
      </c>
      <c r="C5" s="57">
        <f>Assumptions!$D$12</f>
        <v/>
      </c>
      <c r="D5" s="57">
        <f>Assumptions!$E$12</f>
        <v/>
      </c>
    </row>
    <row r="6">
      <c r="A6" s="6" t="inlineStr">
        <is>
          <t>Cost of sales (% of sales)</t>
        </is>
      </c>
      <c r="B6" s="58">
        <f>Assumptions!$C$16</f>
        <v/>
      </c>
      <c r="C6" s="58">
        <f>Assumptions!$D$16</f>
        <v/>
      </c>
      <c r="D6" s="58">
        <f>Assumptions!$E$16</f>
        <v/>
      </c>
    </row>
    <row r="7">
      <c r="A7" s="6" t="inlineStr">
        <is>
          <t>Terminal growth rate</t>
        </is>
      </c>
      <c r="B7" s="58">
        <f>Assumptions!$C$35</f>
        <v/>
      </c>
      <c r="C7" s="58">
        <f>Assumptions!$D$35</f>
        <v/>
      </c>
      <c r="D7" s="58">
        <f>Assumptions!$E$35</f>
        <v/>
      </c>
    </row>
    <row r="8">
      <c r="A8" s="6" t="inlineStr">
        <is>
          <t>FY2030 sales</t>
        </is>
      </c>
      <c r="B8" s="37">
        <f>Base!J24</f>
        <v/>
      </c>
      <c r="C8" s="37">
        <f>Upside!J24</f>
        <v/>
      </c>
      <c r="D8" s="37">
        <f>Downside!J24</f>
        <v/>
      </c>
    </row>
    <row r="9">
      <c r="A9" s="6" t="inlineStr">
        <is>
          <t>Sales CAGR, FY2025–FY2030</t>
        </is>
      </c>
      <c r="B9" s="22">
        <f>(Base!J24/Base!E24)^(1/5)-1</f>
        <v/>
      </c>
      <c r="C9" s="22">
        <f>(Upside!J24/Upside!E24)^(1/5)-1</f>
        <v/>
      </c>
      <c r="D9" s="22">
        <f>(Downside!J24/Downside!E24)^(1/5)-1</f>
        <v/>
      </c>
    </row>
    <row r="10">
      <c r="A10" s="6" t="inlineStr">
        <is>
          <t>FY2030 operating income</t>
        </is>
      </c>
      <c r="B10" s="37">
        <f>Base!J31</f>
        <v/>
      </c>
      <c r="C10" s="37">
        <f>Upside!J31</f>
        <v/>
      </c>
      <c r="D10" s="37">
        <f>Downside!J31</f>
        <v/>
      </c>
    </row>
    <row r="11">
      <c r="A11" s="6" t="inlineStr">
        <is>
          <t>FY2030 operating margin</t>
        </is>
      </c>
      <c r="B11" s="58">
        <f>Base!J32</f>
        <v/>
      </c>
      <c r="C11" s="58">
        <f>Upside!J32</f>
        <v/>
      </c>
      <c r="D11" s="58">
        <f>Downside!J32</f>
        <v/>
      </c>
    </row>
    <row r="12">
      <c r="A12" s="6" t="inlineStr">
        <is>
          <t>Free cash flow, FY2026–FY2030 total</t>
        </is>
      </c>
      <c r="B12" s="25">
        <f>SUM(Base!F88:J88)</f>
        <v/>
      </c>
      <c r="C12" s="25">
        <f>SUM(Upside!F88:J88)</f>
        <v/>
      </c>
      <c r="D12" s="25">
        <f>SUM(Downside!F88:J88)</f>
        <v/>
      </c>
    </row>
    <row r="13">
      <c r="A13" s="6" t="inlineStr">
        <is>
          <t>Enterprise value</t>
        </is>
      </c>
      <c r="B13" s="37">
        <f>Base!C98</f>
        <v/>
      </c>
      <c r="C13" s="37">
        <f>Upside!C98</f>
        <v/>
      </c>
      <c r="D13" s="37">
        <f>Downside!C98</f>
        <v/>
      </c>
    </row>
    <row r="14">
      <c r="A14" s="6" t="inlineStr">
        <is>
          <t>Equity value</t>
        </is>
      </c>
      <c r="B14" s="37">
        <f>Base!C106</f>
        <v/>
      </c>
      <c r="C14" s="37">
        <f>Upside!C106</f>
        <v/>
      </c>
      <c r="D14" s="37">
        <f>Downside!C106</f>
        <v/>
      </c>
    </row>
    <row r="15">
      <c r="A15" s="5" t="inlineStr">
        <is>
          <t>Value per share (¥)</t>
        </is>
      </c>
      <c r="B15" s="53">
        <f>Base!C107</f>
        <v/>
      </c>
      <c r="C15" s="53">
        <f>Upside!C107</f>
        <v/>
      </c>
      <c r="D15" s="53">
        <f>Downside!C107</f>
        <v/>
      </c>
    </row>
    <row r="16">
      <c r="A16" s="6" t="inlineStr">
        <is>
          <t>Value per ADR (US$)</t>
        </is>
      </c>
      <c r="B16" s="59">
        <f>Base!C108</f>
        <v/>
      </c>
      <c r="C16" s="59">
        <f>Upside!C108</f>
        <v/>
      </c>
      <c r="D16" s="59">
        <f>Downside!C108</f>
        <v/>
      </c>
    </row>
    <row r="17">
      <c r="A17" s="5" t="inlineStr">
        <is>
          <t>Market price per share (¥)</t>
        </is>
      </c>
      <c r="B17" s="53">
        <f>Base!C109</f>
        <v/>
      </c>
      <c r="C17" s="53">
        <f>Upside!C109</f>
        <v/>
      </c>
      <c r="D17" s="53">
        <f>Downside!C109</f>
        <v/>
      </c>
    </row>
    <row r="18">
      <c r="A18" s="5" t="inlineStr">
        <is>
          <t>Value versus market price</t>
        </is>
      </c>
      <c r="B18" s="60">
        <f>Base!C110</f>
        <v/>
      </c>
      <c r="C18" s="60">
        <f>Upside!C110</f>
        <v/>
      </c>
      <c r="D18" s="60">
        <f>Downside!C110</f>
        <v/>
      </c>
    </row>
    <row r="19">
      <c r="A19" s="6" t="inlineStr">
        <is>
          <t>Terminal value as share of enterprise value</t>
        </is>
      </c>
      <c r="B19" s="61">
        <f>Base!C111</f>
        <v/>
      </c>
      <c r="C19" s="61">
        <f>Upside!C111</f>
        <v/>
      </c>
      <c r="D19" s="61">
        <f>Downside!C111</f>
        <v/>
      </c>
    </row>
    <row r="20">
      <c r="A20" s="6" t="inlineStr">
        <is>
          <t>Balance check, all forecast years (must be zero)</t>
        </is>
      </c>
      <c r="B20" s="25">
        <f>SUM(Base!F60:J60)</f>
        <v/>
      </c>
      <c r="C20" s="25">
        <f>SUM(Upside!F60:J60)</f>
        <v/>
      </c>
      <c r="D20" s="25">
        <f>SUM(Downside!F60:J60)</f>
        <v/>
      </c>
    </row>
    <row r="23">
      <c r="A23" s="5" t="inlineStr">
        <is>
          <t>Sensitivity: Base-case value per share (¥) to WACC and terminal growth</t>
        </is>
      </c>
    </row>
    <row r="24">
      <c r="A24" s="2" t="inlineStr">
        <is>
          <t>Rows: WACC. Columns: terminal growth. The centre cell equals the Base-case value per share.</t>
        </is>
      </c>
    </row>
    <row r="25">
      <c r="A25" s="62" t="inlineStr">
        <is>
          <t>WACC  \  terminal growth</t>
        </is>
      </c>
      <c r="B25" s="63">
        <f>Assumptions!$C$35-0.01</f>
        <v/>
      </c>
      <c r="C25" s="63">
        <f>Assumptions!$C$35-0.005</f>
        <v/>
      </c>
      <c r="D25" s="63">
        <f>Assumptions!$C$35+0</f>
        <v/>
      </c>
      <c r="E25" s="63">
        <f>Assumptions!$C$35+0.005</f>
        <v/>
      </c>
      <c r="F25" s="63">
        <f>Assumptions!$C$35+0.01</f>
        <v/>
      </c>
    </row>
    <row r="26">
      <c r="A26" s="64">
        <f>Assumptions!$C$50-0.02</f>
        <v/>
      </c>
      <c r="B26" s="35">
        <f>(SUMPRODUCT(Base!$F$88:$J$88/(1+$A26)^Base!$F$5:$J$5)+Base!$J$88*(1+B$25)/($A26-B$25)/(1+$A26)^5+Base!$C$105)*1000000/Assumptions!$C$42</f>
        <v/>
      </c>
      <c r="C26" s="35">
        <f>(SUMPRODUCT(Base!$F$88:$J$88/(1+$A26)^Base!$F$5:$J$5)+Base!$J$88*(1+C$25)/($A26-C$25)/(1+$A26)^5+Base!$C$105)*1000000/Assumptions!$C$42</f>
        <v/>
      </c>
      <c r="D26" s="35">
        <f>(SUMPRODUCT(Base!$F$88:$J$88/(1+$A26)^Base!$F$5:$J$5)+Base!$J$88*(1+D$25)/($A26-D$25)/(1+$A26)^5+Base!$C$105)*1000000/Assumptions!$C$42</f>
        <v/>
      </c>
      <c r="E26" s="35">
        <f>(SUMPRODUCT(Base!$F$88:$J$88/(1+$A26)^Base!$F$5:$J$5)+Base!$J$88*(1+E$25)/($A26-E$25)/(1+$A26)^5+Base!$C$105)*1000000/Assumptions!$C$42</f>
        <v/>
      </c>
      <c r="F26" s="35">
        <f>(SUMPRODUCT(Base!$F$88:$J$88/(1+$A26)^Base!$F$5:$J$5)+Base!$J$88*(1+F$25)/($A26-F$25)/(1+$A26)^5+Base!$C$105)*1000000/Assumptions!$C$42</f>
        <v/>
      </c>
    </row>
    <row r="27">
      <c r="A27" s="64">
        <f>Assumptions!$C$50-0.01</f>
        <v/>
      </c>
      <c r="B27" s="35">
        <f>(SUMPRODUCT(Base!$F$88:$J$88/(1+$A27)^Base!$F$5:$J$5)+Base!$J$88*(1+B$25)/($A27-B$25)/(1+$A27)^5+Base!$C$105)*1000000/Assumptions!$C$42</f>
        <v/>
      </c>
      <c r="C27" s="35">
        <f>(SUMPRODUCT(Base!$F$88:$J$88/(1+$A27)^Base!$F$5:$J$5)+Base!$J$88*(1+C$25)/($A27-C$25)/(1+$A27)^5+Base!$C$105)*1000000/Assumptions!$C$42</f>
        <v/>
      </c>
      <c r="D27" s="35">
        <f>(SUMPRODUCT(Base!$F$88:$J$88/(1+$A27)^Base!$F$5:$J$5)+Base!$J$88*(1+D$25)/($A27-D$25)/(1+$A27)^5+Base!$C$105)*1000000/Assumptions!$C$42</f>
        <v/>
      </c>
      <c r="E27" s="35">
        <f>(SUMPRODUCT(Base!$F$88:$J$88/(1+$A27)^Base!$F$5:$J$5)+Base!$J$88*(1+E$25)/($A27-E$25)/(1+$A27)^5+Base!$C$105)*1000000/Assumptions!$C$42</f>
        <v/>
      </c>
      <c r="F27" s="35">
        <f>(SUMPRODUCT(Base!$F$88:$J$88/(1+$A27)^Base!$F$5:$J$5)+Base!$J$88*(1+F$25)/($A27-F$25)/(1+$A27)^5+Base!$C$105)*1000000/Assumptions!$C$42</f>
        <v/>
      </c>
    </row>
    <row r="28">
      <c r="A28" s="64">
        <f>Assumptions!$C$50+0</f>
        <v/>
      </c>
      <c r="B28" s="35">
        <f>(SUMPRODUCT(Base!$F$88:$J$88/(1+$A28)^Base!$F$5:$J$5)+Base!$J$88*(1+B$25)/($A28-B$25)/(1+$A28)^5+Base!$C$105)*1000000/Assumptions!$C$42</f>
        <v/>
      </c>
      <c r="C28" s="35">
        <f>(SUMPRODUCT(Base!$F$88:$J$88/(1+$A28)^Base!$F$5:$J$5)+Base!$J$88*(1+C$25)/($A28-C$25)/(1+$A28)^5+Base!$C$105)*1000000/Assumptions!$C$42</f>
        <v/>
      </c>
      <c r="D28" s="65">
        <f>(SUMPRODUCT(Base!$F$88:$J$88/(1+$A28)^Base!$F$5:$J$5)+Base!$J$88*(1+D$25)/($A28-D$25)/(1+$A28)^5+Base!$C$105)*1000000/Assumptions!$C$42</f>
        <v/>
      </c>
      <c r="E28" s="35">
        <f>(SUMPRODUCT(Base!$F$88:$J$88/(1+$A28)^Base!$F$5:$J$5)+Base!$J$88*(1+E$25)/($A28-E$25)/(1+$A28)^5+Base!$C$105)*1000000/Assumptions!$C$42</f>
        <v/>
      </c>
      <c r="F28" s="35">
        <f>(SUMPRODUCT(Base!$F$88:$J$88/(1+$A28)^Base!$F$5:$J$5)+Base!$J$88*(1+F$25)/($A28-F$25)/(1+$A28)^5+Base!$C$105)*1000000/Assumptions!$C$42</f>
        <v/>
      </c>
    </row>
    <row r="29">
      <c r="A29" s="64">
        <f>Assumptions!$C$50+0.01</f>
        <v/>
      </c>
      <c r="B29" s="35">
        <f>(SUMPRODUCT(Base!$F$88:$J$88/(1+$A29)^Base!$F$5:$J$5)+Base!$J$88*(1+B$25)/($A29-B$25)/(1+$A29)^5+Base!$C$105)*1000000/Assumptions!$C$42</f>
        <v/>
      </c>
      <c r="C29" s="35">
        <f>(SUMPRODUCT(Base!$F$88:$J$88/(1+$A29)^Base!$F$5:$J$5)+Base!$J$88*(1+C$25)/($A29-C$25)/(1+$A29)^5+Base!$C$105)*1000000/Assumptions!$C$42</f>
        <v/>
      </c>
      <c r="D29" s="35">
        <f>(SUMPRODUCT(Base!$F$88:$J$88/(1+$A29)^Base!$F$5:$J$5)+Base!$J$88*(1+D$25)/($A29-D$25)/(1+$A29)^5+Base!$C$105)*1000000/Assumptions!$C$42</f>
        <v/>
      </c>
      <c r="E29" s="35">
        <f>(SUMPRODUCT(Base!$F$88:$J$88/(1+$A29)^Base!$F$5:$J$5)+Base!$J$88*(1+E$25)/($A29-E$25)/(1+$A29)^5+Base!$C$105)*1000000/Assumptions!$C$42</f>
        <v/>
      </c>
      <c r="F29" s="35">
        <f>(SUMPRODUCT(Base!$F$88:$J$88/(1+$A29)^Base!$F$5:$J$5)+Base!$J$88*(1+F$25)/($A29-F$25)/(1+$A29)^5+Base!$C$105)*1000000/Assumptions!$C$42</f>
        <v/>
      </c>
    </row>
    <row r="30">
      <c r="A30" s="64">
        <f>Assumptions!$C$50+0.02</f>
        <v/>
      </c>
      <c r="B30" s="35">
        <f>(SUMPRODUCT(Base!$F$88:$J$88/(1+$A30)^Base!$F$5:$J$5)+Base!$J$88*(1+B$25)/($A30-B$25)/(1+$A30)^5+Base!$C$105)*1000000/Assumptions!$C$42</f>
        <v/>
      </c>
      <c r="C30" s="35">
        <f>(SUMPRODUCT(Base!$F$88:$J$88/(1+$A30)^Base!$F$5:$J$5)+Base!$J$88*(1+C$25)/($A30-C$25)/(1+$A30)^5+Base!$C$105)*1000000/Assumptions!$C$42</f>
        <v/>
      </c>
      <c r="D30" s="35">
        <f>(SUMPRODUCT(Base!$F$88:$J$88/(1+$A30)^Base!$F$5:$J$5)+Base!$J$88*(1+D$25)/($A30-D$25)/(1+$A30)^5+Base!$C$105)*1000000/Assumptions!$C$42</f>
        <v/>
      </c>
      <c r="E30" s="35">
        <f>(SUMPRODUCT(Base!$F$88:$J$88/(1+$A30)^Base!$F$5:$J$5)+Base!$J$88*(1+E$25)/($A30-E$25)/(1+$A30)^5+Base!$C$105)*1000000/Assumptions!$C$42</f>
        <v/>
      </c>
      <c r="F30" s="35">
        <f>(SUMPRODUCT(Base!$F$88:$J$88/(1+$A30)^Base!$F$5:$J$5)+Base!$J$88*(1+F$25)/($A30-F$25)/(1+$A30)^5+Base!$C$105)*1000000/Assumptions!$C$42</f>
        <v/>
      </c>
    </row>
    <row r="33">
      <c r="A33" s="5" t="inlineStr">
        <is>
          <t>Chart data (feeds the Dashboard)</t>
        </is>
      </c>
    </row>
    <row r="34">
      <c r="A34" s="18" t="inlineStr">
        <is>
          <t>¥ trillions</t>
        </is>
      </c>
      <c r="B34" s="12" t="inlineStr">
        <is>
          <t>FY2023A</t>
        </is>
      </c>
      <c r="C34" s="12" t="inlineStr">
        <is>
          <t>FY2024A</t>
        </is>
      </c>
      <c r="D34" s="12" t="inlineStr">
        <is>
          <t>FY2025A</t>
        </is>
      </c>
      <c r="E34" s="12" t="inlineStr">
        <is>
          <t>FY2026E</t>
        </is>
      </c>
      <c r="F34" s="12" t="inlineStr">
        <is>
          <t>FY2027E</t>
        </is>
      </c>
      <c r="G34" s="12" t="inlineStr">
        <is>
          <t>FY2028E</t>
        </is>
      </c>
      <c r="H34" s="12" t="inlineStr">
        <is>
          <t>FY2029E</t>
        </is>
      </c>
      <c r="I34" s="12" t="inlineStr">
        <is>
          <t>FY2030E</t>
        </is>
      </c>
    </row>
    <row r="35">
      <c r="A35" s="6" t="inlineStr">
        <is>
          <t>Sales — Base</t>
        </is>
      </c>
      <c r="B35" s="29">
        <f>Base!C24/1000000</f>
        <v/>
      </c>
      <c r="C35" s="29">
        <f>Base!D24/1000000</f>
        <v/>
      </c>
      <c r="D35" s="29">
        <f>Base!E24/1000000</f>
        <v/>
      </c>
      <c r="E35" s="29">
        <f>Base!F24/1000000</f>
        <v/>
      </c>
      <c r="F35" s="29">
        <f>Base!G24/1000000</f>
        <v/>
      </c>
      <c r="G35" s="29">
        <f>Base!H24/1000000</f>
        <v/>
      </c>
      <c r="H35" s="29">
        <f>Base!I24/1000000</f>
        <v/>
      </c>
      <c r="I35" s="29">
        <f>Base!J24/1000000</f>
        <v/>
      </c>
    </row>
    <row r="36">
      <c r="A36" s="6" t="inlineStr">
        <is>
          <t>Sales — Upside</t>
        </is>
      </c>
      <c r="B36" s="29">
        <f>Upside!C24/1000000</f>
        <v/>
      </c>
      <c r="C36" s="29">
        <f>Upside!D24/1000000</f>
        <v/>
      </c>
      <c r="D36" s="29">
        <f>Upside!E24/1000000</f>
        <v/>
      </c>
      <c r="E36" s="29">
        <f>Upside!F24/1000000</f>
        <v/>
      </c>
      <c r="F36" s="29">
        <f>Upside!G24/1000000</f>
        <v/>
      </c>
      <c r="G36" s="29">
        <f>Upside!H24/1000000</f>
        <v/>
      </c>
      <c r="H36" s="29">
        <f>Upside!I24/1000000</f>
        <v/>
      </c>
      <c r="I36" s="29">
        <f>Upside!J24/1000000</f>
        <v/>
      </c>
    </row>
    <row r="37">
      <c r="A37" s="6" t="inlineStr">
        <is>
          <t>Sales — Downside</t>
        </is>
      </c>
      <c r="B37" s="29">
        <f>Downside!C24/1000000</f>
        <v/>
      </c>
      <c r="C37" s="29">
        <f>Downside!D24/1000000</f>
        <v/>
      </c>
      <c r="D37" s="29">
        <f>Downside!E24/1000000</f>
        <v/>
      </c>
      <c r="E37" s="29">
        <f>Downside!F24/1000000</f>
        <v/>
      </c>
      <c r="F37" s="29">
        <f>Downside!G24/1000000</f>
        <v/>
      </c>
      <c r="G37" s="29">
        <f>Downside!H24/1000000</f>
        <v/>
      </c>
      <c r="H37" s="29">
        <f>Downside!I24/1000000</f>
        <v/>
      </c>
      <c r="I37" s="29">
        <f>Downside!J24/1000000</f>
        <v/>
      </c>
    </row>
    <row r="38">
      <c r="A38" s="6" t="inlineStr">
        <is>
          <t>Operating income — Base</t>
        </is>
      </c>
      <c r="B38" s="29">
        <f>Base!C31/1000000</f>
        <v/>
      </c>
      <c r="C38" s="29">
        <f>Base!D31/1000000</f>
        <v/>
      </c>
      <c r="D38" s="29">
        <f>Base!E31/1000000</f>
        <v/>
      </c>
      <c r="E38" s="29">
        <f>Base!F31/1000000</f>
        <v/>
      </c>
      <c r="F38" s="29">
        <f>Base!G31/1000000</f>
        <v/>
      </c>
      <c r="G38" s="29">
        <f>Base!H31/1000000</f>
        <v/>
      </c>
      <c r="H38" s="29">
        <f>Base!I31/1000000</f>
        <v/>
      </c>
      <c r="I38" s="29">
        <f>Base!J31/1000000</f>
        <v/>
      </c>
    </row>
    <row r="39">
      <c r="A39" s="6" t="inlineStr">
        <is>
          <t>Free cash flow — Base</t>
        </is>
      </c>
      <c r="E39" s="29">
        <f>Base!F88/1000000</f>
        <v/>
      </c>
      <c r="F39" s="29">
        <f>Base!G88/1000000</f>
        <v/>
      </c>
      <c r="G39" s="29">
        <f>Base!H88/1000000</f>
        <v/>
      </c>
      <c r="H39" s="29">
        <f>Base!I88/1000000</f>
        <v/>
      </c>
      <c r="I39" s="29">
        <f>Base!J88/1000000</f>
        <v/>
      </c>
    </row>
    <row r="41">
      <c r="A41" s="18" t="inlineStr">
        <is>
          <t>Value per share (¥)</t>
        </is>
      </c>
      <c r="B41" s="12" t="inlineStr">
        <is>
          <t>Base</t>
        </is>
      </c>
      <c r="C41" s="12" t="inlineStr">
        <is>
          <t>Upside</t>
        </is>
      </c>
      <c r="D41" s="12" t="inlineStr">
        <is>
          <t>Downside</t>
        </is>
      </c>
      <c r="E41" s="12" t="inlineStr">
        <is>
          <t>Market price</t>
        </is>
      </c>
    </row>
    <row r="42">
      <c r="A42" s="6" t="inlineStr">
        <is>
          <t>Value per share (¥)</t>
        </is>
      </c>
      <c r="B42" s="53">
        <f>Base!C107</f>
        <v/>
      </c>
      <c r="C42" s="53">
        <f>Upside!C107</f>
        <v/>
      </c>
      <c r="D42" s="53">
        <f>Downside!C107</f>
        <v/>
      </c>
      <c r="E42" s="53">
        <f>Assumptions!$C$43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2026-10-14T00:09:01Z</dcterms:created>
  <dcterms:modified xsi:type="dcterms:W3CDTF">2026-10-14T00:09:01Z</dcterms:modified>
</cp:coreProperties>
</file>